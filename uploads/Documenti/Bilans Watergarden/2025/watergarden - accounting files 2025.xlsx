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oardo\.gemini\antigravity\scratch\Watergarden\uploads\Documenti\Bilans Watergarden\2025\"/>
    </mc:Choice>
  </mc:AlternateContent>
  <xr:revisionPtr revIDLastSave="0" documentId="13_ncr:1_{C8365917-9E03-48A7-BC54-6844B68C203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ORT" sheetId="11" r:id="rId1"/>
    <sheet name="PARTICIP" sheetId="27" r:id="rId2"/>
    <sheet name="LOAN ARCO IRIS" sheetId="31" r:id="rId3"/>
    <sheet name="CAPITAL" sheetId="30" r:id="rId4"/>
    <sheet name="LOAN OUT" sheetId="32" r:id="rId5"/>
    <sheet name="RES REP" sheetId="33" r:id="rId6"/>
  </sheets>
  <definedNames>
    <definedName name="_xlnm.Print_Area" localSheetId="0">AMORT!$A$1:$M$13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3" l="1"/>
  <c r="O8" i="31"/>
  <c r="O17" i="31"/>
  <c r="N9" i="31" l="1"/>
  <c r="Q9" i="31" s="1"/>
  <c r="N10" i="31"/>
  <c r="Q10" i="31" s="1"/>
  <c r="O9" i="31"/>
  <c r="N28" i="31"/>
  <c r="O28" i="31" s="1"/>
  <c r="I17" i="32" s="1"/>
  <c r="N27" i="31"/>
  <c r="O27" i="31" s="1"/>
  <c r="I16" i="32" s="1"/>
  <c r="N26" i="31"/>
  <c r="N25" i="31"/>
  <c r="O25" i="31" s="1"/>
  <c r="I14" i="32" s="1"/>
  <c r="N24" i="31"/>
  <c r="O24" i="31" s="1"/>
  <c r="I13" i="32" s="1"/>
  <c r="N23" i="31"/>
  <c r="N22" i="31"/>
  <c r="N21" i="31"/>
  <c r="O21" i="31" s="1"/>
  <c r="I10" i="32" s="1"/>
  <c r="N20" i="31"/>
  <c r="N19" i="31"/>
  <c r="O19" i="31" s="1"/>
  <c r="I8" i="32" s="1"/>
  <c r="N18" i="31"/>
  <c r="I7" i="32" s="1"/>
  <c r="O20" i="31"/>
  <c r="I9" i="32" s="1"/>
  <c r="O18" i="31"/>
  <c r="L19" i="31"/>
  <c r="M19" i="31" s="1"/>
  <c r="O26" i="31"/>
  <c r="I15" i="32" s="1"/>
  <c r="O23" i="31"/>
  <c r="I12" i="32" s="1"/>
  <c r="O22" i="31"/>
  <c r="I11" i="32" s="1"/>
  <c r="N11" i="31"/>
  <c r="O10" i="31"/>
  <c r="K9" i="31"/>
  <c r="Q11" i="31" l="1"/>
  <c r="I18" i="32"/>
  <c r="N29" i="31"/>
  <c r="N32" i="31" s="1"/>
  <c r="O11" i="31"/>
  <c r="O29" i="31"/>
  <c r="O32" i="31" l="1"/>
  <c r="E31" i="11"/>
  <c r="D97" i="30" l="1"/>
  <c r="D99" i="30" s="1"/>
  <c r="M28" i="27"/>
  <c r="M27" i="27"/>
  <c r="D18" i="32"/>
  <c r="C18" i="32"/>
  <c r="H8" i="32"/>
  <c r="B15" i="32"/>
  <c r="B14" i="32"/>
  <c r="B16" i="32"/>
  <c r="B17" i="32"/>
  <c r="B13" i="32"/>
  <c r="B12" i="32"/>
  <c r="B11" i="32"/>
  <c r="B10" i="32"/>
  <c r="B9" i="32"/>
  <c r="B8" i="32"/>
  <c r="C25" i="32"/>
  <c r="B25" i="32"/>
  <c r="B18" i="32" l="1"/>
  <c r="A18" i="32" s="1"/>
  <c r="D44" i="31"/>
  <c r="D45" i="31" s="1"/>
  <c r="D46" i="31" s="1"/>
  <c r="D47" i="31" s="1"/>
  <c r="D48" i="31" s="1"/>
  <c r="D49" i="31" s="1"/>
  <c r="D50" i="31" s="1"/>
  <c r="D51" i="31" s="1"/>
  <c r="M10" i="31"/>
  <c r="M9" i="31"/>
  <c r="H11" i="31"/>
  <c r="G26" i="31"/>
  <c r="G22" i="31"/>
  <c r="I9" i="31"/>
  <c r="R9" i="31" s="1"/>
  <c r="F18" i="31"/>
  <c r="G18" i="31" s="1"/>
  <c r="F19" i="31"/>
  <c r="F20" i="31"/>
  <c r="Q20" i="31" s="1"/>
  <c r="F21" i="31"/>
  <c r="F22" i="31"/>
  <c r="F23" i="31"/>
  <c r="F24" i="31"/>
  <c r="F25" i="31"/>
  <c r="F26" i="31"/>
  <c r="F27" i="31"/>
  <c r="F28" i="31"/>
  <c r="Q28" i="31" s="1"/>
  <c r="C29" i="31"/>
  <c r="D29" i="31"/>
  <c r="D11" i="31"/>
  <c r="D32" i="31" s="1"/>
  <c r="C11" i="31"/>
  <c r="C32" i="31" s="1"/>
  <c r="H29" i="31"/>
  <c r="L28" i="31"/>
  <c r="M28" i="31" s="1"/>
  <c r="H17" i="32" s="1"/>
  <c r="J28" i="31"/>
  <c r="K28" i="31" s="1"/>
  <c r="G17" i="32" s="1"/>
  <c r="I28" i="31"/>
  <c r="F17" i="32" s="1"/>
  <c r="L27" i="31"/>
  <c r="M27" i="31" s="1"/>
  <c r="H16" i="32" s="1"/>
  <c r="J27" i="31"/>
  <c r="K27" i="31" s="1"/>
  <c r="G16" i="32" s="1"/>
  <c r="I27" i="31"/>
  <c r="F16" i="32" s="1"/>
  <c r="K16" i="32" s="1"/>
  <c r="L26" i="31"/>
  <c r="M26" i="31" s="1"/>
  <c r="H15" i="32" s="1"/>
  <c r="J26" i="31"/>
  <c r="K26" i="31" s="1"/>
  <c r="I26" i="31"/>
  <c r="L25" i="31"/>
  <c r="M25" i="31" s="1"/>
  <c r="H14" i="32" s="1"/>
  <c r="J25" i="31"/>
  <c r="K25" i="31" s="1"/>
  <c r="G14" i="32" s="1"/>
  <c r="I25" i="31"/>
  <c r="L24" i="31"/>
  <c r="M24" i="31" s="1"/>
  <c r="H13" i="32" s="1"/>
  <c r="J24" i="31"/>
  <c r="K24" i="31" s="1"/>
  <c r="G13" i="32" s="1"/>
  <c r="I24" i="31"/>
  <c r="F13" i="32" s="1"/>
  <c r="L23" i="31"/>
  <c r="M23" i="31" s="1"/>
  <c r="H12" i="32" s="1"/>
  <c r="J23" i="31"/>
  <c r="K23" i="31" s="1"/>
  <c r="G12" i="32" s="1"/>
  <c r="I23" i="31"/>
  <c r="F12" i="32" s="1"/>
  <c r="K12" i="32" s="1"/>
  <c r="L22" i="31"/>
  <c r="M22" i="31" s="1"/>
  <c r="H11" i="32" s="1"/>
  <c r="J22" i="31"/>
  <c r="K22" i="31" s="1"/>
  <c r="G11" i="32" s="1"/>
  <c r="I22" i="31"/>
  <c r="F11" i="32" s="1"/>
  <c r="L21" i="31"/>
  <c r="M21" i="31" s="1"/>
  <c r="H10" i="32" s="1"/>
  <c r="J21" i="31"/>
  <c r="K21" i="31" s="1"/>
  <c r="G10" i="32" s="1"/>
  <c r="I21" i="31"/>
  <c r="F10" i="32" s="1"/>
  <c r="L20" i="31"/>
  <c r="M20" i="31" s="1"/>
  <c r="H9" i="32" s="1"/>
  <c r="J20" i="31"/>
  <c r="K20" i="31" s="1"/>
  <c r="G9" i="32" s="1"/>
  <c r="I20" i="31"/>
  <c r="F9" i="32" s="1"/>
  <c r="J19" i="31"/>
  <c r="K19" i="31" s="1"/>
  <c r="G8" i="32" s="1"/>
  <c r="I19" i="31"/>
  <c r="F8" i="32" s="1"/>
  <c r="K8" i="32" s="1"/>
  <c r="L18" i="31"/>
  <c r="M18" i="31" s="1"/>
  <c r="H7" i="32" s="1"/>
  <c r="J18" i="31"/>
  <c r="K18" i="31" s="1"/>
  <c r="G7" i="32" s="1"/>
  <c r="I18" i="31"/>
  <c r="F7" i="32" s="1"/>
  <c r="K7" i="32" s="1"/>
  <c r="K10" i="31"/>
  <c r="I10" i="31"/>
  <c r="R10" i="31" s="1"/>
  <c r="K11" i="32" l="1"/>
  <c r="H18" i="32"/>
  <c r="K9" i="32"/>
  <c r="K13" i="32"/>
  <c r="K17" i="32"/>
  <c r="Q24" i="31"/>
  <c r="F14" i="32"/>
  <c r="K14" i="32" s="1"/>
  <c r="R18" i="31"/>
  <c r="Q27" i="31"/>
  <c r="Q23" i="31"/>
  <c r="Q19" i="31"/>
  <c r="G19" i="31"/>
  <c r="R19" i="31" s="1"/>
  <c r="G23" i="31"/>
  <c r="R23" i="31" s="1"/>
  <c r="G27" i="31"/>
  <c r="R27" i="31" s="1"/>
  <c r="R22" i="31"/>
  <c r="F15" i="32"/>
  <c r="K15" i="32" s="1"/>
  <c r="Q26" i="31"/>
  <c r="Q22" i="31"/>
  <c r="Q18" i="31"/>
  <c r="G20" i="31"/>
  <c r="R20" i="31" s="1"/>
  <c r="G24" i="31"/>
  <c r="R24" i="31" s="1"/>
  <c r="G28" i="31"/>
  <c r="R28" i="31" s="1"/>
  <c r="R26" i="31"/>
  <c r="F18" i="32"/>
  <c r="K10" i="32"/>
  <c r="G15" i="32"/>
  <c r="G18" i="32" s="1"/>
  <c r="Q25" i="31"/>
  <c r="Q21" i="31"/>
  <c r="R11" i="31"/>
  <c r="G21" i="31"/>
  <c r="R21" i="31" s="1"/>
  <c r="G25" i="31"/>
  <c r="R25" i="31" s="1"/>
  <c r="H32" i="31"/>
  <c r="M29" i="31"/>
  <c r="M32" i="31" s="1"/>
  <c r="J29" i="31"/>
  <c r="I29" i="31"/>
  <c r="L29" i="31"/>
  <c r="K29" i="31"/>
  <c r="F29" i="31"/>
  <c r="F32" i="31" s="1"/>
  <c r="L11" i="31"/>
  <c r="M11" i="31"/>
  <c r="J11" i="31"/>
  <c r="K11" i="31"/>
  <c r="I11" i="31"/>
  <c r="I32" i="31" l="1"/>
  <c r="J32" i="31"/>
  <c r="K18" i="32"/>
  <c r="R29" i="31"/>
  <c r="R32" i="31" s="1"/>
  <c r="L32" i="31"/>
  <c r="C35" i="31" s="1"/>
  <c r="K32" i="31"/>
  <c r="Q29" i="31"/>
  <c r="Q32" i="31" s="1"/>
  <c r="D23" i="11" l="1"/>
  <c r="F23" i="11" s="1"/>
  <c r="D28" i="11"/>
  <c r="F28" i="11" s="1"/>
  <c r="L26" i="11"/>
  <c r="F26" i="11"/>
  <c r="F21" i="11"/>
  <c r="G27" i="11"/>
  <c r="D29" i="11" s="1"/>
  <c r="G29" i="11" s="1"/>
  <c r="D34" i="11"/>
  <c r="D33" i="11"/>
  <c r="G22" i="11"/>
  <c r="H22" i="11" s="1"/>
  <c r="G38" i="30"/>
  <c r="H72" i="30"/>
  <c r="H51" i="30"/>
  <c r="H52" i="30"/>
  <c r="H53" i="30"/>
  <c r="C70" i="30"/>
  <c r="C61" i="30"/>
  <c r="C78" i="30"/>
  <c r="E78" i="30" s="1"/>
  <c r="C31" i="30"/>
  <c r="C83" i="30"/>
  <c r="E83" i="30" s="1"/>
  <c r="C82" i="30"/>
  <c r="C81" i="30"/>
  <c r="C80" i="30"/>
  <c r="C79" i="30"/>
  <c r="C77" i="30"/>
  <c r="C76" i="30"/>
  <c r="C75" i="30"/>
  <c r="C74" i="30"/>
  <c r="C73" i="30"/>
  <c r="C72" i="30"/>
  <c r="C71" i="30"/>
  <c r="C69" i="30"/>
  <c r="C68" i="30"/>
  <c r="C67" i="30"/>
  <c r="E46" i="30"/>
  <c r="H60" i="30"/>
  <c r="H58" i="30"/>
  <c r="H56" i="30"/>
  <c r="E49" i="30"/>
  <c r="E48" i="30"/>
  <c r="H1" i="27"/>
  <c r="J51" i="30"/>
  <c r="J50" i="30"/>
  <c r="J46" i="30"/>
  <c r="J57" i="30"/>
  <c r="J56" i="30"/>
  <c r="J60" i="30"/>
  <c r="J47" i="30"/>
  <c r="J54" i="30"/>
  <c r="J58" i="30"/>
  <c r="J55" i="30"/>
  <c r="J52" i="30"/>
  <c r="J53" i="30"/>
  <c r="J48" i="30"/>
  <c r="J59" i="30"/>
  <c r="E47" i="30"/>
  <c r="H47" i="30"/>
  <c r="H68" i="30" s="1"/>
  <c r="H50" i="30"/>
  <c r="H54" i="30"/>
  <c r="H55" i="30"/>
  <c r="H59" i="30"/>
  <c r="H46" i="30"/>
  <c r="H67" i="30" s="1"/>
  <c r="E60" i="30"/>
  <c r="E59" i="30"/>
  <c r="E58" i="30"/>
  <c r="E56" i="30"/>
  <c r="E55" i="30"/>
  <c r="E54" i="30"/>
  <c r="E51" i="30"/>
  <c r="E50" i="30"/>
  <c r="B38" i="30"/>
  <c r="D38" i="30" s="1"/>
  <c r="D41" i="30" s="1"/>
  <c r="F38" i="30"/>
  <c r="F69" i="30" l="1"/>
  <c r="F70" i="30"/>
  <c r="C87" i="30"/>
  <c r="E70" i="30"/>
  <c r="I70" i="30" s="1"/>
  <c r="F78" i="30"/>
  <c r="F83" i="30"/>
  <c r="E67" i="30"/>
  <c r="C88" i="30"/>
  <c r="G26" i="11"/>
  <c r="G28" i="11" s="1"/>
  <c r="L29" i="11"/>
  <c r="H27" i="11"/>
  <c r="H26" i="11" s="1"/>
  <c r="H29" i="11" s="1"/>
  <c r="H21" i="11"/>
  <c r="G21" i="11"/>
  <c r="I22" i="11"/>
  <c r="G41" i="30"/>
  <c r="E71" i="30"/>
  <c r="E73" i="30"/>
  <c r="J61" i="30"/>
  <c r="F52" i="30"/>
  <c r="F50" i="30"/>
  <c r="I60" i="30"/>
  <c r="K60" i="30" s="1"/>
  <c r="F58" i="30"/>
  <c r="E81" i="30"/>
  <c r="F60" i="30"/>
  <c r="F59" i="30"/>
  <c r="I50" i="30"/>
  <c r="K50" i="30" s="1"/>
  <c r="F46" i="30"/>
  <c r="E75" i="30"/>
  <c r="F47" i="30"/>
  <c r="I58" i="30"/>
  <c r="K58" i="30" s="1"/>
  <c r="C84" i="30"/>
  <c r="F71" i="30" s="1"/>
  <c r="E68" i="30"/>
  <c r="I59" i="30"/>
  <c r="K59" i="30" s="1"/>
  <c r="I55" i="30"/>
  <c r="K55" i="30" s="1"/>
  <c r="F51" i="30"/>
  <c r="E79" i="30"/>
  <c r="F54" i="30"/>
  <c r="I51" i="30"/>
  <c r="K51" i="30" s="1"/>
  <c r="F53" i="30"/>
  <c r="E69" i="30"/>
  <c r="I56" i="30"/>
  <c r="K56" i="30" s="1"/>
  <c r="E77" i="30"/>
  <c r="F55" i="30"/>
  <c r="F57" i="30"/>
  <c r="E82" i="30"/>
  <c r="E80" i="30"/>
  <c r="E76" i="30"/>
  <c r="E74" i="30"/>
  <c r="E72" i="30"/>
  <c r="I72" i="30" s="1"/>
  <c r="I47" i="30"/>
  <c r="K47" i="30" s="1"/>
  <c r="I46" i="30"/>
  <c r="K46" i="30" s="1"/>
  <c r="I54" i="30"/>
  <c r="K54" i="30" s="1"/>
  <c r="E57" i="30"/>
  <c r="H57" i="30"/>
  <c r="F56" i="30"/>
  <c r="E53" i="30"/>
  <c r="E52" i="30"/>
  <c r="I52" i="30" s="1"/>
  <c r="K52" i="30" s="1"/>
  <c r="F49" i="30"/>
  <c r="H49" i="30"/>
  <c r="H48" i="30"/>
  <c r="F48" i="30"/>
  <c r="J6" i="11"/>
  <c r="F72" i="30" l="1"/>
  <c r="I48" i="30"/>
  <c r="K48" i="30" s="1"/>
  <c r="H69" i="30"/>
  <c r="I69" i="30" s="1"/>
  <c r="I49" i="30"/>
  <c r="K49" i="30" s="1"/>
  <c r="H71" i="30"/>
  <c r="F74" i="30"/>
  <c r="F79" i="30"/>
  <c r="F67" i="30"/>
  <c r="F84" i="30" s="1"/>
  <c r="F77" i="30"/>
  <c r="F75" i="30"/>
  <c r="F76" i="30"/>
  <c r="F68" i="30"/>
  <c r="F81" i="30"/>
  <c r="I71" i="30"/>
  <c r="F73" i="30"/>
  <c r="F80" i="30"/>
  <c r="F82" i="30"/>
  <c r="I27" i="11"/>
  <c r="H28" i="11"/>
  <c r="I21" i="11"/>
  <c r="J22" i="11"/>
  <c r="K21" i="11" s="1"/>
  <c r="K23" i="11" s="1"/>
  <c r="I67" i="30"/>
  <c r="I68" i="30"/>
  <c r="I57" i="30"/>
  <c r="K57" i="30" s="1"/>
  <c r="E84" i="30"/>
  <c r="F61" i="30"/>
  <c r="E61" i="30"/>
  <c r="I53" i="30"/>
  <c r="K53" i="30" s="1"/>
  <c r="H61" i="30"/>
  <c r="E19" i="30"/>
  <c r="E30" i="30"/>
  <c r="G30" i="30" s="1"/>
  <c r="E29" i="30"/>
  <c r="G29" i="30" s="1"/>
  <c r="E28" i="30"/>
  <c r="G28" i="30" s="1"/>
  <c r="E27" i="30"/>
  <c r="G27" i="30" s="1"/>
  <c r="E26" i="30"/>
  <c r="G26" i="30" s="1"/>
  <c r="E25" i="30"/>
  <c r="G25" i="30" s="1"/>
  <c r="E24" i="30"/>
  <c r="G24" i="30" s="1"/>
  <c r="E23" i="30"/>
  <c r="G23" i="30" s="1"/>
  <c r="E22" i="30"/>
  <c r="G22" i="30" s="1"/>
  <c r="E21" i="30"/>
  <c r="G21" i="30" s="1"/>
  <c r="E18" i="30"/>
  <c r="E20" i="30"/>
  <c r="G20" i="30" s="1"/>
  <c r="E17" i="30"/>
  <c r="E16" i="30"/>
  <c r="E15" i="30"/>
  <c r="I26" i="11" l="1"/>
  <c r="J27" i="11"/>
  <c r="J21" i="11"/>
  <c r="I61" i="30"/>
  <c r="G31" i="30"/>
  <c r="E31" i="30"/>
  <c r="I29" i="11" l="1"/>
  <c r="I28" i="11"/>
  <c r="K26" i="11"/>
  <c r="J26" i="11"/>
  <c r="J29" i="11" s="1"/>
  <c r="F22" i="30"/>
  <c r="F20" i="30"/>
  <c r="F17" i="30"/>
  <c r="F15" i="30"/>
  <c r="F23" i="30"/>
  <c r="F30" i="30"/>
  <c r="F28" i="30"/>
  <c r="F26" i="30"/>
  <c r="F25" i="30"/>
  <c r="F16" i="30"/>
  <c r="F19" i="30"/>
  <c r="F18" i="30"/>
  <c r="F24" i="30"/>
  <c r="F29" i="30"/>
  <c r="F27" i="30"/>
  <c r="F21" i="30"/>
  <c r="J28" i="11" l="1"/>
  <c r="K29" i="11"/>
  <c r="K28" i="11"/>
  <c r="M29" i="11"/>
  <c r="F31" i="30"/>
  <c r="D17" i="11"/>
  <c r="K14" i="11"/>
  <c r="K16" i="11" s="1"/>
  <c r="J14" i="11"/>
  <c r="J16" i="11" s="1"/>
  <c r="I14" i="11"/>
  <c r="I16" i="11" s="1"/>
  <c r="H14" i="11"/>
  <c r="H16" i="11" s="1"/>
  <c r="G14" i="11"/>
  <c r="G16" i="11" s="1"/>
  <c r="F14" i="11"/>
  <c r="F16" i="11" s="1"/>
  <c r="D16" i="11"/>
  <c r="L18" i="11"/>
  <c r="M28" i="11" l="1"/>
  <c r="K17" i="11"/>
  <c r="H17" i="11"/>
  <c r="I17" i="11"/>
  <c r="J17" i="11"/>
  <c r="G17" i="11"/>
  <c r="F17" i="11"/>
  <c r="L16" i="11"/>
  <c r="G11" i="30"/>
  <c r="G13" i="27"/>
  <c r="K7" i="27"/>
  <c r="M7" i="27" s="1"/>
  <c r="K11" i="27"/>
  <c r="M11" i="27" s="1"/>
  <c r="K8" i="27"/>
  <c r="M8" i="27" s="1"/>
  <c r="H23" i="30" l="1"/>
  <c r="H76" i="30" s="1"/>
  <c r="I76" i="30" s="1"/>
  <c r="H20" i="30"/>
  <c r="H73" i="30" s="1"/>
  <c r="H29" i="30"/>
  <c r="H82" i="30" s="1"/>
  <c r="I82" i="30" s="1"/>
  <c r="H25" i="30"/>
  <c r="H78" i="30" s="1"/>
  <c r="I78" i="30" s="1"/>
  <c r="H21" i="30"/>
  <c r="H74" i="30" s="1"/>
  <c r="I74" i="30" s="1"/>
  <c r="H22" i="30"/>
  <c r="H75" i="30" s="1"/>
  <c r="I75" i="30" s="1"/>
  <c r="H24" i="30"/>
  <c r="H77" i="30" s="1"/>
  <c r="I77" i="30" s="1"/>
  <c r="H26" i="30"/>
  <c r="H79" i="30" s="1"/>
  <c r="I79" i="30" s="1"/>
  <c r="H27" i="30"/>
  <c r="H80" i="30" s="1"/>
  <c r="I80" i="30" s="1"/>
  <c r="H28" i="30"/>
  <c r="H81" i="30" s="1"/>
  <c r="I81" i="30" s="1"/>
  <c r="H30" i="30"/>
  <c r="H83" i="30" s="1"/>
  <c r="I83" i="30" s="1"/>
  <c r="L17" i="11"/>
  <c r="I73" i="30" l="1"/>
  <c r="I84" i="30" s="1"/>
  <c r="H84" i="30"/>
  <c r="H31" i="30"/>
  <c r="E12" i="27"/>
  <c r="B12" i="27"/>
  <c r="B13" i="27" s="1"/>
  <c r="B14" i="27" s="1"/>
  <c r="B15" i="27" s="1"/>
  <c r="B17" i="27" s="1"/>
  <c r="E7" i="27"/>
  <c r="E8" i="27" s="1"/>
  <c r="F8" i="27" s="1"/>
  <c r="N11" i="27" l="1"/>
  <c r="N8" i="27"/>
  <c r="N7" i="27"/>
  <c r="F12" i="27"/>
  <c r="E13" i="27"/>
  <c r="E14" i="27" s="1"/>
  <c r="F7" i="27"/>
  <c r="D8" i="30"/>
  <c r="D11" i="30" s="1"/>
  <c r="H7" i="27"/>
  <c r="H8" i="27" s="1"/>
  <c r="K6" i="11"/>
  <c r="K8" i="11" s="1"/>
  <c r="K31" i="11" s="1"/>
  <c r="F6" i="11"/>
  <c r="F8" i="11" s="1"/>
  <c r="L10" i="11"/>
  <c r="L9" i="11"/>
  <c r="D8" i="11"/>
  <c r="F31" i="11" l="1"/>
  <c r="N20" i="27"/>
  <c r="F14" i="27"/>
  <c r="E15" i="27"/>
  <c r="F13" i="27"/>
  <c r="H12" i="27"/>
  <c r="H13" i="27" s="1"/>
  <c r="H14" i="27" s="1"/>
  <c r="H15" i="27" s="1"/>
  <c r="H17" i="27" s="1"/>
  <c r="H20" i="27" s="1"/>
  <c r="C31" i="27" s="1"/>
  <c r="F15" i="27" l="1"/>
  <c r="E17" i="27"/>
  <c r="F17" i="27" s="1"/>
  <c r="O20" i="27" s="1"/>
  <c r="J8" i="11"/>
  <c r="I6" i="11" l="1"/>
  <c r="I8" i="11" s="1"/>
  <c r="G6" i="11" l="1"/>
  <c r="G8" i="11" s="1"/>
  <c r="H6" i="11"/>
  <c r="H8" i="11" s="1"/>
  <c r="L8" i="11" l="1"/>
  <c r="G23" i="11" l="1"/>
  <c r="H23" i="11"/>
  <c r="H31" i="11" s="1"/>
  <c r="I23" i="11"/>
  <c r="J23" i="11"/>
  <c r="J31" i="11" s="1"/>
  <c r="E33" i="11" l="1"/>
  <c r="I31" i="11"/>
  <c r="G31" i="11"/>
  <c r="E32" i="11"/>
  <c r="E34" i="11" s="1"/>
  <c r="L23" i="11"/>
  <c r="L31" i="11" s="1"/>
  <c r="M31" i="11" l="1"/>
  <c r="G29" i="31" l="1"/>
  <c r="G32" i="31" s="1"/>
  <c r="D35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Elisabetta TRIVISANI</author>
  </authors>
  <commentList>
    <comment ref="C1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Elisabetta TRIVISANI:</t>
        </r>
        <r>
          <rPr>
            <sz val="9"/>
            <color indexed="81"/>
            <rFont val="Tahoma"/>
            <family val="2"/>
          </rPr>
          <t xml:space="preserve">
régularisation des années antérieures +/- année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Pietro GRECO</author>
  </authors>
  <commentList>
    <comment ref="C15" authorId="0" shapeId="0" xr:uid="{4FB2C60C-01DD-4FDE-8BFF-9DE75C710F83}">
      <text>
        <r>
          <rPr>
            <b/>
            <sz val="9"/>
            <color indexed="81"/>
            <rFont val="Tahoma"/>
            <family val="2"/>
          </rPr>
          <t>Pietro GRECO:</t>
        </r>
        <r>
          <rPr>
            <sz val="9"/>
            <color indexed="81"/>
            <rFont val="Tahoma"/>
            <family val="2"/>
          </rPr>
          <t xml:space="preserve">
dcd - répartition des titres entre Adonella et Marco STERZI, respectivement 39.313 et 39.312</t>
        </r>
      </text>
    </comment>
  </commentList>
</comments>
</file>

<file path=xl/sharedStrings.xml><?xml version="1.0" encoding="utf-8"?>
<sst xmlns="http://schemas.openxmlformats.org/spreadsheetml/2006/main" count="348" uniqueCount="183">
  <si>
    <t>Situation au</t>
  </si>
  <si>
    <t>Montant</t>
  </si>
  <si>
    <t>Total</t>
  </si>
  <si>
    <t xml:space="preserve">solde au </t>
  </si>
  <si>
    <t>total amortissement</t>
  </si>
  <si>
    <t>Date</t>
  </si>
  <si>
    <t>AMORTISSEMENTS</t>
  </si>
  <si>
    <t>ex précédents</t>
  </si>
  <si>
    <t>TOTAL</t>
  </si>
  <si>
    <t>WATERGARDEN MANAGEMENT S.à r.l.</t>
  </si>
  <si>
    <t>Tx 20%</t>
  </si>
  <si>
    <t>FRAIS AUGMENTATION DE CAPITAL</t>
  </si>
  <si>
    <t>ME SCHAEFFER NO 1804091</t>
  </si>
  <si>
    <t>dans les comptes de reprises, une erreure de compte avait été faite lors de la déduction du montant de TVA de la facture</t>
  </si>
  <si>
    <t>htva 1 723.58€</t>
  </si>
  <si>
    <t>tva  242.52€</t>
  </si>
  <si>
    <t xml:space="preserve">en 2019 un ajustement de 94.93€ a été passé du compte $2039 au $2031 </t>
  </si>
  <si>
    <t>PARTICIPATIONS</t>
  </si>
  <si>
    <t>Nbre actions</t>
  </si>
  <si>
    <t>Nominal détenu</t>
  </si>
  <si>
    <t>Pourcentage de détention</t>
  </si>
  <si>
    <t>ARCO-IRIS ADMINISTRADORA DE BENS E IMOVEIS LTDA, Brazil</t>
  </si>
  <si>
    <t>Capital en BRL</t>
  </si>
  <si>
    <t>Montant payé en EUR</t>
  </si>
  <si>
    <t>Solde payé en EUR</t>
  </si>
  <si>
    <t>régularisation augm capital du 30/04/2015 par conversion financement</t>
  </si>
  <si>
    <t>FINANCEMENTS ACCORDES</t>
  </si>
  <si>
    <t xml:space="preserve">$4228800 </t>
  </si>
  <si>
    <t>Créance FRANCO TOSCANO</t>
  </si>
  <si>
    <t>Montant en EUR</t>
  </si>
  <si>
    <t>Solde en EUR</t>
  </si>
  <si>
    <t>Taux d'intérêt</t>
  </si>
  <si>
    <t>CAPITAL</t>
  </si>
  <si>
    <t>Valeur Nominale</t>
  </si>
  <si>
    <t>Capital social</t>
  </si>
  <si>
    <t>Transfert de Panama vers Luxembourg</t>
  </si>
  <si>
    <t>Valeur nominale</t>
  </si>
  <si>
    <t>Réduc de val + réd capital + aj détention</t>
  </si>
  <si>
    <t>Financement ARCO -IRIS ADMINISTRADORA DE BENS E IMOVEIS LTDA</t>
  </si>
  <si>
    <t>Autres actionnaires</t>
  </si>
  <si>
    <t>Franco Toscano</t>
  </si>
  <si>
    <t>Goyanna Participacoes e Acessoria Empresarial Ltda</t>
  </si>
  <si>
    <t>Pourcentage détention</t>
  </si>
  <si>
    <t>J.M. EMPREENDIMENTOS IMOBILIARIOS E HOTELEIROS LTDA</t>
  </si>
  <si>
    <t>SOLDE COMPTE $4522</t>
  </si>
  <si>
    <t>Alfonso Belardi</t>
  </si>
  <si>
    <t>Sergio Vandi</t>
  </si>
  <si>
    <t>Jean-Pierre Murgia</t>
  </si>
  <si>
    <t>Stéphane Bosi</t>
  </si>
  <si>
    <t>Marco Canton</t>
  </si>
  <si>
    <t>Susik Hemawiti</t>
  </si>
  <si>
    <t>Giorgio Vignolle</t>
  </si>
  <si>
    <t>Marco Sterzi</t>
  </si>
  <si>
    <t>GLENELG SA</t>
  </si>
  <si>
    <t>Enrico Tubia</t>
  </si>
  <si>
    <t>Edoardo Tubia</t>
  </si>
  <si>
    <t>FUSION 15/12/2021 EFFET 01/01/21</t>
  </si>
  <si>
    <t>PRIME DE FUSION</t>
  </si>
  <si>
    <t>FRAIS AUGMENTATION DE CAPITAL ET TRANSFORMATIONS</t>
  </si>
  <si>
    <t>FRAIS DE FUSION</t>
  </si>
  <si>
    <t>Periode amortissement 5 ANS</t>
  </si>
  <si>
    <t>ME Joëlle BADEN - TTC 3 839.03€</t>
  </si>
  <si>
    <t>ESSEDI PARTNERS - TTC 2 925€</t>
  </si>
  <si>
    <t>TOTAL IM. FIN</t>
  </si>
  <si>
    <t>Franca Cella</t>
  </si>
  <si>
    <t>Marylène Alix</t>
  </si>
  <si>
    <t>MMM Finance</t>
  </si>
  <si>
    <t>B</t>
  </si>
  <si>
    <t>A</t>
  </si>
  <si>
    <t>Salvatore Desiderio</t>
  </si>
  <si>
    <t>Stefano Bosi</t>
  </si>
  <si>
    <t>HEMAWITI Susik</t>
  </si>
  <si>
    <t>JP Murgia</t>
  </si>
  <si>
    <t>Augmentation de capital</t>
  </si>
  <si>
    <t>PRIME D'EMISSION</t>
  </si>
  <si>
    <t>DETAIL</t>
  </si>
  <si>
    <t>Marco STERZI</t>
  </si>
  <si>
    <t>Adonella STERZI</t>
  </si>
  <si>
    <t>Détail de la souscription</t>
  </si>
  <si>
    <t>Marylène ALIX</t>
  </si>
  <si>
    <t>Capital</t>
  </si>
  <si>
    <t>Prime d'émission</t>
  </si>
  <si>
    <t>Montant libéré</t>
  </si>
  <si>
    <t>Salvatore DESIDERIO</t>
  </si>
  <si>
    <t>Enrico TUBIA</t>
  </si>
  <si>
    <t>Alfonso BELARDI</t>
  </si>
  <si>
    <t>Stefano BOSI</t>
  </si>
  <si>
    <t>Marco CANTON</t>
  </si>
  <si>
    <t>Edoardo TUBIA</t>
  </si>
  <si>
    <t>Sergio VANDI</t>
  </si>
  <si>
    <t>Giorgio VIGNOLLE</t>
  </si>
  <si>
    <t>GLENELG S.A.</t>
  </si>
  <si>
    <t>J.P. MURGIA</t>
  </si>
  <si>
    <t>Prime d'émission / Prime de fusion</t>
  </si>
  <si>
    <t>ME SCHAEFFER N°2200954</t>
  </si>
  <si>
    <t>Me Joëlle BADEN fte n° 5964 421260/22</t>
  </si>
  <si>
    <t>$2030000</t>
  </si>
  <si>
    <t>Essedi Partners ttc 1 740€</t>
  </si>
  <si>
    <t>FINANCEMENTS RECUS</t>
  </si>
  <si>
    <t>Augm capital - 500.000 BRL</t>
  </si>
  <si>
    <t>DETTE BRL</t>
  </si>
  <si>
    <t>DETTE EUR</t>
  </si>
  <si>
    <t>augm capital pour compte de Watergarden (tx de change système comptable = BCE)</t>
  </si>
  <si>
    <t>paiement partiel par F Toscano (tx de change système comptable = BCE)</t>
  </si>
  <si>
    <t>réval 31/12/23 - perte de change non réalisée</t>
  </si>
  <si>
    <t>$45128 dette Arco Iris - augm cap à payer</t>
  </si>
  <si>
    <t xml:space="preserve">Résultat 2023 – 12.696,82 R$ </t>
  </si>
  <si>
    <t>P&amp;L cumulé : - 4.349.513,36 R$ (inclus 2023)</t>
  </si>
  <si>
    <t>classe A</t>
  </si>
  <si>
    <t>classe B</t>
  </si>
  <si>
    <t>Tranche BRL</t>
  </si>
  <si>
    <t>J-P Murgia</t>
  </si>
  <si>
    <t>Glenelg SA</t>
  </si>
  <si>
    <t xml:space="preserve"> 0% et ensuite 7% à partir du 15/12/2021</t>
  </si>
  <si>
    <t>Intérêts courus BRL 2021</t>
  </si>
  <si>
    <t>Intérêts courus EUR 2021</t>
  </si>
  <si>
    <t>Intérêts courus BRL 2022</t>
  </si>
  <si>
    <t>Intérêts courus EUR 2022</t>
  </si>
  <si>
    <t>tx 31/12 /21</t>
  </si>
  <si>
    <t>tx 31/12 /22</t>
  </si>
  <si>
    <t>Intérêts courus BRL 2023</t>
  </si>
  <si>
    <t>Intérêts courus EUR 2023</t>
  </si>
  <si>
    <t>tx 31/12 /23</t>
  </si>
  <si>
    <t>Intérêts courus BRL 2024</t>
  </si>
  <si>
    <t>tx 31/12 /24</t>
  </si>
  <si>
    <t>Intérêts courus EUR 2024</t>
  </si>
  <si>
    <t xml:space="preserve"> 0% et ensuite 7% à partir du 01/01/2022</t>
  </si>
  <si>
    <t>$232100002</t>
  </si>
  <si>
    <t>$232100003</t>
  </si>
  <si>
    <t>$232100004</t>
  </si>
  <si>
    <t>$232100005</t>
  </si>
  <si>
    <t>$232100006</t>
  </si>
  <si>
    <t>$232100007</t>
  </si>
  <si>
    <t>$232100008</t>
  </si>
  <si>
    <t>$232100009</t>
  </si>
  <si>
    <t>$232100010</t>
  </si>
  <si>
    <t>$232100011</t>
  </si>
  <si>
    <t>$232200001</t>
  </si>
  <si>
    <t>$232200002</t>
  </si>
  <si>
    <t>TOTAL LOAN $232…</t>
  </si>
  <si>
    <t>$75541</t>
  </si>
  <si>
    <t>TOTAL INTERETS $4111250</t>
  </si>
  <si>
    <t>SHAREHOLDERS LOAN</t>
  </si>
  <si>
    <t>SPLIT PART ARCO IRIS 2.700.000 EUR</t>
  </si>
  <si>
    <t>SPLIT PART ARCO IRIS 589.720 EUR</t>
  </si>
  <si>
    <t>PREMIUM 70% INT ARCO IRIS FOR 2022</t>
  </si>
  <si>
    <t>PREMIUM 70% INT ARCO IRIS FOR 2023</t>
  </si>
  <si>
    <t>PREMIUM 70% INT ARCO IRIS FOR 2024</t>
  </si>
  <si>
    <t>tx 31/12/24</t>
  </si>
  <si>
    <t>cap propres</t>
  </si>
  <si>
    <t>rés 2023</t>
  </si>
  <si>
    <t>rés rep</t>
  </si>
  <si>
    <t>rés 2024</t>
  </si>
  <si>
    <t>tx 31/12 /25</t>
  </si>
  <si>
    <t>Intérêts courus EUR 2025</t>
  </si>
  <si>
    <t>Intérêts courus BRL 2025</t>
  </si>
  <si>
    <t>$6311</t>
  </si>
  <si>
    <t>$2039</t>
  </si>
  <si>
    <t>$41112501</t>
  </si>
  <si>
    <t>$41112502</t>
  </si>
  <si>
    <t>$41112503</t>
  </si>
  <si>
    <t>$41112504</t>
  </si>
  <si>
    <t>$41112505</t>
  </si>
  <si>
    <t>$41112506</t>
  </si>
  <si>
    <t>$41112507</t>
  </si>
  <si>
    <t>$41112508</t>
  </si>
  <si>
    <t>$41112509</t>
  </si>
  <si>
    <t>$41112510</t>
  </si>
  <si>
    <t>$41112511</t>
  </si>
  <si>
    <t>PREMIUM 70% INT ARCO IRIS FOR 2025</t>
  </si>
  <si>
    <t>$452180010</t>
  </si>
  <si>
    <t>$452180009</t>
  </si>
  <si>
    <t>$452180008</t>
  </si>
  <si>
    <t>$452180007</t>
  </si>
  <si>
    <t>$452180006</t>
  </si>
  <si>
    <t>$452180005</t>
  </si>
  <si>
    <t>$452180004</t>
  </si>
  <si>
    <t>$452180003</t>
  </si>
  <si>
    <t>$452180002</t>
  </si>
  <si>
    <t>$452180001</t>
  </si>
  <si>
    <t>$65542</t>
  </si>
  <si>
    <t>PERTES REPORTABLES</t>
  </si>
  <si>
    <t>Répartition du capital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</si>
</sst>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#,##0.00_ ;[Red]\-#,##0.00\ "/>
    <numFmt numFmtId="167" formatCode="dd/mm/yyyy;@"/>
    <numFmt numFmtId="168" formatCode="#,##0.00\ &quot;€&quot;"/>
    <numFmt numFmtId="169" formatCode="_-* #,##0.00\ [$BRL]_-;\-* #,##0.00\ [$BRL]_-;_-* &quot;-&quot;??\ [$BRL]_-;_-@_-"/>
    <numFmt numFmtId="170" formatCode="0.0000%"/>
    <numFmt numFmtId="171" formatCode="#,##0.00\ [$BRL]"/>
    <numFmt numFmtId="172" formatCode="_-* #,##0.00\ [$€-140C]_-;\-* #,##0.00\ [$€-140C]_-;_-* &quot;-&quot;??\ [$€-140C]_-;_-@_-"/>
    <numFmt numFmtId="173" formatCode="0.000%"/>
    <numFmt numFmtId="174" formatCode="_-* #,##0.00000000\ _€_-;\-* #,##0.00000000\ _€_-;_-* &quot;-&quot;??\ _€_-;_-@_-"/>
    <numFmt numFmtId="175" formatCode="_-* #,##0.000000\ _€_-;\-* #,##0.000000\ _€_-;_-* &quot;-&quot;??\ _€_-;_-@_-"/>
  </numFmts>
  <fonts count="22" x14ac:knownFonts="1">
    <font>
      <sz val="8"/>
      <name val="Comic Sans M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mic Sans MS"/>
      <family val="4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57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omic Sans MS"/>
      <family val="4"/>
    </font>
    <font>
      <sz val="8"/>
      <name val="Comic Sans MS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"/>
      <name val="Comic Sans MS"/>
      <family val="4"/>
    </font>
    <font>
      <b/>
      <sz val="8"/>
      <color indexed="8"/>
      <name val="Comic Sans MS"/>
      <family val="4"/>
    </font>
    <font>
      <b/>
      <sz val="14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5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02">
    <xf numFmtId="0" fontId="0" fillId="0" borderId="0" xfId="0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" fontId="5" fillId="0" borderId="0" xfId="0" applyNumberFormat="1" applyFont="1" applyAlignment="1">
      <alignment horizontal="right"/>
    </xf>
    <xf numFmtId="14" fontId="5" fillId="0" borderId="5" xfId="0" applyNumberFormat="1" applyFont="1" applyBorder="1" applyAlignment="1">
      <alignment horizontal="left"/>
    </xf>
    <xf numFmtId="40" fontId="5" fillId="0" borderId="5" xfId="0" applyNumberFormat="1" applyFont="1" applyBorder="1" applyAlignment="1">
      <alignment horizontal="right"/>
    </xf>
    <xf numFmtId="40" fontId="5" fillId="0" borderId="5" xfId="0" applyNumberFormat="1" applyFont="1" applyBorder="1"/>
    <xf numFmtId="14" fontId="5" fillId="0" borderId="7" xfId="0" applyNumberFormat="1" applyFont="1" applyBorder="1" applyAlignment="1">
      <alignment horizontal="left"/>
    </xf>
    <xf numFmtId="167" fontId="5" fillId="0" borderId="0" xfId="0" applyNumberFormat="1" applyFont="1"/>
    <xf numFmtId="166" fontId="5" fillId="0" borderId="0" xfId="0" applyNumberFormat="1" applyFont="1"/>
    <xf numFmtId="0" fontId="7" fillId="0" borderId="0" xfId="0" applyFont="1" applyAlignment="1">
      <alignment horizontal="right"/>
    </xf>
    <xf numFmtId="38" fontId="6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0" fontId="4" fillId="2" borderId="6" xfId="0" applyFont="1" applyFill="1" applyBorder="1" applyAlignment="1">
      <alignment horizontal="left"/>
    </xf>
    <xf numFmtId="0" fontId="5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horizontal="center"/>
    </xf>
    <xf numFmtId="14" fontId="4" fillId="2" borderId="6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166" fontId="6" fillId="2" borderId="2" xfId="0" applyNumberFormat="1" applyFont="1" applyFill="1" applyBorder="1" applyAlignment="1">
      <alignment horizontal="right"/>
    </xf>
    <xf numFmtId="0" fontId="5" fillId="2" borderId="0" xfId="0" applyFont="1" applyFill="1"/>
    <xf numFmtId="167" fontId="5" fillId="2" borderId="0" xfId="0" applyNumberFormat="1" applyFont="1" applyFill="1"/>
    <xf numFmtId="1" fontId="5" fillId="0" borderId="5" xfId="0" applyNumberFormat="1" applyFont="1" applyBorder="1" applyAlignment="1">
      <alignment horizontal="right"/>
    </xf>
    <xf numFmtId="40" fontId="5" fillId="3" borderId="5" xfId="0" applyNumberFormat="1" applyFont="1" applyFill="1" applyBorder="1" applyAlignment="1">
      <alignment horizontal="right"/>
    </xf>
    <xf numFmtId="166" fontId="6" fillId="2" borderId="3" xfId="0" applyNumberFormat="1" applyFont="1" applyFill="1" applyBorder="1"/>
    <xf numFmtId="2" fontId="6" fillId="0" borderId="0" xfId="0" applyNumberFormat="1" applyFont="1" applyAlignment="1">
      <alignment horizontal="left"/>
    </xf>
    <xf numFmtId="2" fontId="5" fillId="0" borderId="0" xfId="0" applyNumberFormat="1" applyFont="1"/>
    <xf numFmtId="14" fontId="5" fillId="3" borderId="5" xfId="0" applyNumberFormat="1" applyFont="1" applyFill="1" applyBorder="1" applyAlignment="1">
      <alignment horizontal="left"/>
    </xf>
    <xf numFmtId="1" fontId="5" fillId="3" borderId="5" xfId="0" applyNumberFormat="1" applyFont="1" applyFill="1" applyBorder="1" applyAlignment="1">
      <alignment horizontal="right"/>
    </xf>
    <xf numFmtId="40" fontId="5" fillId="3" borderId="5" xfId="0" applyNumberFormat="1" applyFont="1" applyFill="1" applyBorder="1"/>
    <xf numFmtId="0" fontId="9" fillId="2" borderId="5" xfId="0" applyFont="1" applyFill="1" applyBorder="1" applyAlignment="1">
      <alignment wrapText="1"/>
    </xf>
    <xf numFmtId="0" fontId="9" fillId="0" borderId="0" xfId="0" applyFont="1"/>
    <xf numFmtId="14" fontId="5" fillId="0" borderId="0" xfId="0" applyNumberFormat="1" applyFont="1" applyAlignment="1">
      <alignment horizontal="left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14" fontId="5" fillId="0" borderId="0" xfId="0" applyNumberFormat="1" applyFont="1"/>
    <xf numFmtId="4" fontId="5" fillId="0" borderId="0" xfId="0" applyNumberFormat="1" applyFont="1"/>
    <xf numFmtId="168" fontId="5" fillId="0" borderId="0" xfId="0" applyNumberFormat="1" applyFont="1"/>
    <xf numFmtId="168" fontId="6" fillId="2" borderId="0" xfId="0" applyNumberFormat="1" applyFont="1" applyFill="1" applyAlignment="1">
      <alignment vertical="center" wrapText="1"/>
    </xf>
    <xf numFmtId="3" fontId="5" fillId="0" borderId="0" xfId="0" applyNumberFormat="1" applyFont="1"/>
    <xf numFmtId="10" fontId="5" fillId="0" borderId="0" xfId="0" applyNumberFormat="1" applyFont="1"/>
    <xf numFmtId="0" fontId="6" fillId="4" borderId="0" xfId="0" applyFont="1" applyFill="1" applyAlignment="1">
      <alignment vertical="center" wrapText="1"/>
    </xf>
    <xf numFmtId="14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8" fontId="5" fillId="0" borderId="0" xfId="0" applyNumberFormat="1" applyFont="1" applyAlignment="1">
      <alignment vertical="top"/>
    </xf>
    <xf numFmtId="170" fontId="5" fillId="0" borderId="0" xfId="6" applyNumberFormat="1" applyFont="1" applyFill="1" applyBorder="1" applyAlignment="1"/>
    <xf numFmtId="0" fontId="5" fillId="0" borderId="0" xfId="0" applyFont="1" applyAlignment="1">
      <alignment vertical="top" wrapText="1"/>
    </xf>
    <xf numFmtId="170" fontId="5" fillId="0" borderId="0" xfId="6" applyNumberFormat="1" applyFont="1" applyFill="1" applyBorder="1" applyAlignment="1">
      <alignment vertical="top"/>
    </xf>
    <xf numFmtId="170" fontId="5" fillId="0" borderId="0" xfId="0" applyNumberFormat="1" applyFont="1"/>
    <xf numFmtId="170" fontId="5" fillId="0" borderId="0" xfId="0" applyNumberFormat="1" applyFont="1" applyAlignment="1">
      <alignment vertical="top"/>
    </xf>
    <xf numFmtId="170" fontId="6" fillId="0" borderId="0" xfId="0" applyNumberFormat="1" applyFont="1"/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0" fontId="5" fillId="0" borderId="0" xfId="6" applyNumberFormat="1" applyFont="1" applyFill="1" applyBorder="1" applyAlignment="1">
      <alignment vertical="center"/>
    </xf>
    <xf numFmtId="0" fontId="14" fillId="0" borderId="7" xfId="7" applyFont="1" applyBorder="1"/>
    <xf numFmtId="0" fontId="14" fillId="4" borderId="12" xfId="7" applyFont="1" applyFill="1" applyBorder="1" applyAlignment="1">
      <alignment horizontal="center" vertical="center" wrapText="1"/>
    </xf>
    <xf numFmtId="172" fontId="14" fillId="0" borderId="7" xfId="7" applyNumberFormat="1" applyFont="1" applyBorder="1" applyAlignment="1">
      <alignment horizontal="center"/>
    </xf>
    <xf numFmtId="172" fontId="14" fillId="0" borderId="13" xfId="7" applyNumberFormat="1" applyFont="1" applyBorder="1" applyAlignment="1">
      <alignment horizontal="center"/>
    </xf>
    <xf numFmtId="0" fontId="15" fillId="4" borderId="12" xfId="7" applyFont="1" applyFill="1" applyBorder="1" applyAlignment="1">
      <alignment horizontal="left" vertical="center"/>
    </xf>
    <xf numFmtId="9" fontId="14" fillId="4" borderId="12" xfId="7" applyNumberFormat="1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vertical="center"/>
    </xf>
    <xf numFmtId="168" fontId="16" fillId="2" borderId="16" xfId="0" applyNumberFormat="1" applyFont="1" applyFill="1" applyBorder="1" applyAlignment="1">
      <alignment vertical="center" wrapText="1"/>
    </xf>
    <xf numFmtId="44" fontId="5" fillId="0" borderId="0" xfId="5" applyFont="1" applyAlignment="1">
      <alignment horizontal="left"/>
    </xf>
    <xf numFmtId="14" fontId="5" fillId="0" borderId="11" xfId="0" applyNumberFormat="1" applyFont="1" applyBorder="1"/>
    <xf numFmtId="0" fontId="5" fillId="0" borderId="11" xfId="0" applyFont="1" applyBorder="1"/>
    <xf numFmtId="44" fontId="5" fillId="0" borderId="11" xfId="5" applyFont="1" applyBorder="1" applyAlignment="1">
      <alignment horizontal="left"/>
    </xf>
    <xf numFmtId="10" fontId="5" fillId="0" borderId="0" xfId="6" applyNumberFormat="1" applyFont="1"/>
    <xf numFmtId="44" fontId="6" fillId="0" borderId="14" xfId="5" applyFont="1" applyBorder="1" applyAlignment="1">
      <alignment horizontal="left"/>
    </xf>
    <xf numFmtId="166" fontId="5" fillId="0" borderId="11" xfId="0" applyNumberFormat="1" applyFont="1" applyBorder="1"/>
    <xf numFmtId="44" fontId="5" fillId="4" borderId="0" xfId="0" applyNumberFormat="1" applyFont="1" applyFill="1"/>
    <xf numFmtId="44" fontId="5" fillId="0" borderId="0" xfId="0" applyNumberFormat="1" applyFont="1"/>
    <xf numFmtId="44" fontId="5" fillId="0" borderId="0" xfId="5" applyFont="1" applyBorder="1" applyAlignment="1">
      <alignment horizontal="left"/>
    </xf>
    <xf numFmtId="44" fontId="5" fillId="0" borderId="17" xfId="5" applyFont="1" applyBorder="1" applyAlignment="1">
      <alignment horizontal="left"/>
    </xf>
    <xf numFmtId="10" fontId="5" fillId="0" borderId="0" xfId="6" applyNumberFormat="1" applyFont="1" applyAlignment="1">
      <alignment horizontal="right" indent="1"/>
    </xf>
    <xf numFmtId="10" fontId="5" fillId="0" borderId="11" xfId="6" applyNumberFormat="1" applyFont="1" applyBorder="1" applyAlignment="1">
      <alignment horizontal="right" indent="1"/>
    </xf>
    <xf numFmtId="10" fontId="6" fillId="0" borderId="14" xfId="5" applyNumberFormat="1" applyFont="1" applyBorder="1" applyAlignment="1">
      <alignment horizontal="right" indent="1"/>
    </xf>
    <xf numFmtId="44" fontId="5" fillId="4" borderId="11" xfId="0" applyNumberFormat="1" applyFont="1" applyFill="1" applyBorder="1"/>
    <xf numFmtId="3" fontId="6" fillId="0" borderId="14" xfId="5" applyNumberFormat="1" applyFont="1" applyBorder="1" applyAlignment="1">
      <alignment horizontal="right"/>
    </xf>
    <xf numFmtId="171" fontId="5" fillId="0" borderId="0" xfId="0" applyNumberFormat="1" applyFont="1" applyAlignment="1">
      <alignment horizontal="left"/>
    </xf>
    <xf numFmtId="0" fontId="5" fillId="2" borderId="0" xfId="0" applyFont="1" applyFill="1" applyAlignment="1">
      <alignment wrapText="1"/>
    </xf>
    <xf numFmtId="14" fontId="5" fillId="3" borderId="0" xfId="0" applyNumberFormat="1" applyFont="1" applyFill="1" applyAlignment="1">
      <alignment horizontal="left"/>
    </xf>
    <xf numFmtId="40" fontId="5" fillId="3" borderId="0" xfId="0" applyNumberFormat="1" applyFont="1" applyFill="1"/>
    <xf numFmtId="16" fontId="14" fillId="0" borderId="7" xfId="7" applyNumberFormat="1" applyFont="1" applyBorder="1"/>
    <xf numFmtId="0" fontId="15" fillId="4" borderId="12" xfId="7" applyFont="1" applyFill="1" applyBorder="1" applyAlignment="1">
      <alignment horizontal="left" vertical="center" wrapText="1"/>
    </xf>
    <xf numFmtId="169" fontId="14" fillId="0" borderId="7" xfId="7" applyNumberFormat="1" applyFont="1" applyBorder="1"/>
    <xf numFmtId="44" fontId="14" fillId="0" borderId="7" xfId="5" applyFont="1" applyBorder="1" applyAlignment="1">
      <alignment horizontal="center"/>
    </xf>
    <xf numFmtId="44" fontId="14" fillId="0" borderId="13" xfId="5" applyFont="1" applyBorder="1" applyAlignment="1">
      <alignment horizontal="center"/>
    </xf>
    <xf numFmtId="16" fontId="0" fillId="7" borderId="0" xfId="0" applyNumberFormat="1" applyFill="1"/>
    <xf numFmtId="165" fontId="0" fillId="7" borderId="0" xfId="0" applyNumberFormat="1" applyFill="1"/>
    <xf numFmtId="174" fontId="0" fillId="7" borderId="0" xfId="0" applyNumberFormat="1" applyFill="1"/>
    <xf numFmtId="169" fontId="14" fillId="0" borderId="13" xfId="7" applyNumberFormat="1" applyFont="1" applyBorder="1"/>
    <xf numFmtId="169" fontId="5" fillId="0" borderId="0" xfId="0" applyNumberFormat="1" applyFont="1"/>
    <xf numFmtId="172" fontId="5" fillId="0" borderId="0" xfId="0" applyNumberFormat="1" applyFont="1"/>
    <xf numFmtId="44" fontId="5" fillId="0" borderId="0" xfId="5" applyFont="1"/>
    <xf numFmtId="0" fontId="17" fillId="0" borderId="0" xfId="0" applyFont="1" applyAlignment="1">
      <alignment vertical="center"/>
    </xf>
    <xf numFmtId="38" fontId="18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14" fontId="19" fillId="0" borderId="0" xfId="0" applyNumberFormat="1" applyFont="1"/>
    <xf numFmtId="171" fontId="19" fillId="0" borderId="0" xfId="0" applyNumberFormat="1" applyFont="1"/>
    <xf numFmtId="168" fontId="19" fillId="0" borderId="0" xfId="0" applyNumberFormat="1" applyFont="1"/>
    <xf numFmtId="9" fontId="19" fillId="0" borderId="0" xfId="0" applyNumberFormat="1" applyFont="1"/>
    <xf numFmtId="0" fontId="18" fillId="0" borderId="0" xfId="0" applyFont="1"/>
    <xf numFmtId="0" fontId="19" fillId="0" borderId="0" xfId="0" applyFont="1"/>
    <xf numFmtId="168" fontId="18" fillId="2" borderId="0" xfId="0" applyNumberFormat="1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171" fontId="18" fillId="0" borderId="18" xfId="0" applyNumberFormat="1" applyFont="1" applyBorder="1"/>
    <xf numFmtId="44" fontId="18" fillId="0" borderId="18" xfId="5" applyFont="1" applyBorder="1"/>
    <xf numFmtId="0" fontId="18" fillId="2" borderId="19" xfId="0" applyFont="1" applyFill="1" applyBorder="1" applyAlignment="1">
      <alignment vertical="center" wrapText="1"/>
    </xf>
    <xf numFmtId="0" fontId="18" fillId="2" borderId="20" xfId="0" applyFont="1" applyFill="1" applyBorder="1" applyAlignment="1">
      <alignment vertical="center" wrapText="1"/>
    </xf>
    <xf numFmtId="0" fontId="18" fillId="2" borderId="21" xfId="0" applyFont="1" applyFill="1" applyBorder="1" applyAlignment="1">
      <alignment vertical="center" wrapText="1"/>
    </xf>
    <xf numFmtId="0" fontId="18" fillId="2" borderId="22" xfId="0" applyFont="1" applyFill="1" applyBorder="1" applyAlignment="1">
      <alignment vertical="center" wrapText="1"/>
    </xf>
    <xf numFmtId="171" fontId="19" fillId="0" borderId="21" xfId="0" applyNumberFormat="1" applyFont="1" applyBorder="1"/>
    <xf numFmtId="44" fontId="19" fillId="0" borderId="22" xfId="5" applyFont="1" applyBorder="1"/>
    <xf numFmtId="14" fontId="18" fillId="2" borderId="0" xfId="0" applyNumberFormat="1" applyFont="1" applyFill="1" applyAlignment="1">
      <alignment vertical="center" wrapText="1"/>
    </xf>
    <xf numFmtId="171" fontId="19" fillId="0" borderId="18" xfId="0" applyNumberFormat="1" applyFont="1" applyBorder="1"/>
    <xf numFmtId="14" fontId="19" fillId="0" borderId="0" xfId="0" applyNumberFormat="1" applyFont="1" applyAlignment="1">
      <alignment horizontal="left"/>
    </xf>
    <xf numFmtId="168" fontId="19" fillId="0" borderId="18" xfId="0" applyNumberFormat="1" applyFont="1" applyBorder="1"/>
    <xf numFmtId="44" fontId="19" fillId="0" borderId="0" xfId="0" applyNumberFormat="1" applyFont="1"/>
    <xf numFmtId="0" fontId="19" fillId="0" borderId="0" xfId="0" applyFont="1" applyAlignment="1">
      <alignment horizontal="right"/>
    </xf>
    <xf numFmtId="171" fontId="18" fillId="0" borderId="0" xfId="0" applyNumberFormat="1" applyFont="1"/>
    <xf numFmtId="44" fontId="18" fillId="0" borderId="22" xfId="5" applyFont="1" applyBorder="1"/>
    <xf numFmtId="172" fontId="14" fillId="0" borderId="23" xfId="7" applyNumberFormat="1" applyFont="1" applyBorder="1" applyAlignment="1">
      <alignment horizontal="center"/>
    </xf>
    <xf numFmtId="14" fontId="14" fillId="0" borderId="7" xfId="7" applyNumberFormat="1" applyFont="1" applyBorder="1"/>
    <xf numFmtId="172" fontId="14" fillId="4" borderId="14" xfId="7" applyNumberFormat="1" applyFont="1" applyFill="1" applyBorder="1"/>
    <xf numFmtId="172" fontId="14" fillId="0" borderId="14" xfId="7" applyNumberFormat="1" applyFont="1" applyBorder="1" applyAlignment="1">
      <alignment horizontal="center"/>
    </xf>
    <xf numFmtId="44" fontId="18" fillId="0" borderId="0" xfId="0" applyNumberFormat="1" applyFont="1"/>
    <xf numFmtId="175" fontId="18" fillId="0" borderId="0" xfId="0" applyNumberFormat="1" applyFont="1"/>
    <xf numFmtId="0" fontId="21" fillId="0" borderId="0" xfId="0" applyFont="1"/>
    <xf numFmtId="171" fontId="18" fillId="0" borderId="15" xfId="0" applyNumberFormat="1" applyFont="1" applyBorder="1"/>
    <xf numFmtId="44" fontId="18" fillId="0" borderId="16" xfId="0" applyNumberFormat="1" applyFont="1" applyBorder="1"/>
    <xf numFmtId="44" fontId="18" fillId="8" borderId="0" xfId="0" applyNumberFormat="1" applyFont="1" applyFill="1"/>
    <xf numFmtId="44" fontId="18" fillId="9" borderId="0" xfId="0" applyNumberFormat="1" applyFont="1" applyFill="1"/>
    <xf numFmtId="0" fontId="3" fillId="0" borderId="0" xfId="0" applyFont="1"/>
    <xf numFmtId="44" fontId="0" fillId="0" borderId="0" xfId="5" applyFont="1"/>
    <xf numFmtId="44" fontId="0" fillId="0" borderId="14" xfId="5" applyFont="1" applyBorder="1"/>
    <xf numFmtId="168" fontId="19" fillId="2" borderId="0" xfId="0" applyNumberFormat="1" applyFont="1" applyFill="1"/>
    <xf numFmtId="168" fontId="19" fillId="2" borderId="18" xfId="0" applyNumberFormat="1" applyFont="1" applyFill="1" applyBorder="1"/>
    <xf numFmtId="0" fontId="4" fillId="10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10" borderId="0" xfId="0" applyFont="1" applyFill="1" applyAlignment="1">
      <alignment vertical="center"/>
    </xf>
    <xf numFmtId="0" fontId="6" fillId="10" borderId="0" xfId="0" applyFont="1" applyFill="1"/>
    <xf numFmtId="14" fontId="5" fillId="10" borderId="0" xfId="0" applyNumberFormat="1" applyFont="1" applyFill="1"/>
    <xf numFmtId="164" fontId="5" fillId="10" borderId="0" xfId="0" applyNumberFormat="1" applyFont="1" applyFill="1"/>
    <xf numFmtId="168" fontId="5" fillId="10" borderId="0" xfId="0" applyNumberFormat="1" applyFont="1" applyFill="1"/>
    <xf numFmtId="168" fontId="6" fillId="10" borderId="0" xfId="0" applyNumberFormat="1" applyFont="1" applyFill="1"/>
    <xf numFmtId="0" fontId="9" fillId="10" borderId="0" xfId="0" applyFont="1" applyFill="1"/>
    <xf numFmtId="168" fontId="6" fillId="10" borderId="0" xfId="0" applyNumberFormat="1" applyFont="1" applyFill="1" applyAlignment="1">
      <alignment vertical="center"/>
    </xf>
    <xf numFmtId="0" fontId="5" fillId="10" borderId="0" xfId="0" applyFont="1" applyFill="1"/>
    <xf numFmtId="3" fontId="5" fillId="10" borderId="0" xfId="0" applyNumberFormat="1" applyFont="1" applyFill="1"/>
    <xf numFmtId="44" fontId="5" fillId="10" borderId="0" xfId="5" applyFont="1" applyFill="1" applyAlignment="1">
      <alignment horizontal="left"/>
    </xf>
    <xf numFmtId="173" fontId="5" fillId="10" borderId="0" xfId="6" applyNumberFormat="1" applyFont="1" applyFill="1" applyAlignment="1">
      <alignment horizontal="left"/>
    </xf>
    <xf numFmtId="166" fontId="5" fillId="10" borderId="0" xfId="0" applyNumberFormat="1" applyFont="1" applyFill="1"/>
    <xf numFmtId="14" fontId="5" fillId="10" borderId="11" xfId="0" applyNumberFormat="1" applyFont="1" applyFill="1" applyBorder="1"/>
    <xf numFmtId="0" fontId="5" fillId="10" borderId="11" xfId="0" applyFont="1" applyFill="1" applyBorder="1"/>
    <xf numFmtId="3" fontId="5" fillId="10" borderId="11" xfId="0" applyNumberFormat="1" applyFont="1" applyFill="1" applyBorder="1"/>
    <xf numFmtId="44" fontId="5" fillId="10" borderId="11" xfId="5" applyFont="1" applyFill="1" applyBorder="1" applyAlignment="1">
      <alignment horizontal="left"/>
    </xf>
    <xf numFmtId="173" fontId="5" fillId="10" borderId="11" xfId="6" applyNumberFormat="1" applyFont="1" applyFill="1" applyBorder="1" applyAlignment="1">
      <alignment horizontal="left"/>
    </xf>
    <xf numFmtId="166" fontId="5" fillId="10" borderId="11" xfId="0" applyNumberFormat="1" applyFont="1" applyFill="1" applyBorder="1"/>
    <xf numFmtId="10" fontId="5" fillId="10" borderId="0" xfId="6" applyNumberFormat="1" applyFont="1" applyFill="1"/>
    <xf numFmtId="44" fontId="5" fillId="10" borderId="14" xfId="5" applyFont="1" applyFill="1" applyBorder="1" applyAlignment="1">
      <alignment horizontal="left"/>
    </xf>
    <xf numFmtId="173" fontId="5" fillId="10" borderId="14" xfId="0" applyNumberFormat="1" applyFont="1" applyFill="1" applyBorder="1"/>
    <xf numFmtId="10" fontId="5" fillId="10" borderId="0" xfId="6" applyNumberFormat="1" applyFont="1" applyFill="1" applyAlignment="1">
      <alignment horizontal="right" indent="1"/>
    </xf>
    <xf numFmtId="44" fontId="5" fillId="10" borderId="0" xfId="0" applyNumberFormat="1" applyFont="1" applyFill="1"/>
    <xf numFmtId="10" fontId="5" fillId="10" borderId="11" xfId="6" applyNumberFormat="1" applyFont="1" applyFill="1" applyBorder="1" applyAlignment="1">
      <alignment horizontal="right" indent="1"/>
    </xf>
    <xf numFmtId="44" fontId="5" fillId="10" borderId="11" xfId="0" applyNumberFormat="1" applyFont="1" applyFill="1" applyBorder="1"/>
    <xf numFmtId="3" fontId="6" fillId="10" borderId="14" xfId="5" applyNumberFormat="1" applyFont="1" applyFill="1" applyBorder="1" applyAlignment="1">
      <alignment horizontal="right"/>
    </xf>
    <xf numFmtId="44" fontId="5" fillId="10" borderId="0" xfId="5" applyFont="1" applyFill="1" applyBorder="1" applyAlignment="1">
      <alignment horizontal="left"/>
    </xf>
    <xf numFmtId="44" fontId="6" fillId="10" borderId="14" xfId="5" applyFont="1" applyFill="1" applyBorder="1" applyAlignment="1">
      <alignment horizontal="left"/>
    </xf>
    <xf numFmtId="10" fontId="6" fillId="10" borderId="14" xfId="5" applyNumberFormat="1" applyFont="1" applyFill="1" applyBorder="1" applyAlignment="1">
      <alignment horizontal="right" indent="1"/>
    </xf>
    <xf numFmtId="44" fontId="5" fillId="10" borderId="17" xfId="5" applyFont="1" applyFill="1" applyBorder="1" applyAlignment="1">
      <alignment horizontal="left"/>
    </xf>
    <xf numFmtId="3" fontId="5" fillId="8" borderId="0" xfId="0" applyNumberFormat="1" applyFont="1" applyFill="1"/>
    <xf numFmtId="3" fontId="5" fillId="8" borderId="11" xfId="0" applyNumberFormat="1" applyFont="1" applyFill="1" applyBorder="1"/>
    <xf numFmtId="44" fontId="5" fillId="8" borderId="0" xfId="5" applyFont="1" applyFill="1" applyAlignment="1">
      <alignment horizontal="left"/>
    </xf>
    <xf numFmtId="44" fontId="5" fillId="8" borderId="11" xfId="5" applyFont="1" applyFill="1" applyBorder="1" applyAlignment="1">
      <alignment horizontal="left"/>
    </xf>
    <xf numFmtId="0" fontId="6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/>
    </xf>
    <xf numFmtId="14" fontId="4" fillId="2" borderId="8" xfId="1" applyNumberFormat="1" applyFont="1" applyFill="1" applyBorder="1" applyAlignment="1">
      <alignment horizontal="center"/>
    </xf>
    <xf numFmtId="14" fontId="4" fillId="2" borderId="9" xfId="1" applyNumberFormat="1" applyFont="1" applyFill="1" applyBorder="1" applyAlignment="1">
      <alignment horizontal="center"/>
    </xf>
    <xf numFmtId="14" fontId="4" fillId="2" borderId="10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172" fontId="14" fillId="8" borderId="13" xfId="7" applyNumberFormat="1" applyFont="1" applyFill="1" applyBorder="1" applyAlignment="1">
      <alignment horizontal="center"/>
    </xf>
  </cellXfs>
  <cellStyles count="9">
    <cellStyle name="Migliaia" xfId="1" builtinId="3"/>
    <cellStyle name="Milliers 2" xfId="3" xr:uid="{00000000-0005-0000-0000-000002000000}"/>
    <cellStyle name="Monétaire 2" xfId="8" xr:uid="{00000000-0005-0000-0000-000003000000}"/>
    <cellStyle name="Normal 2" xfId="2" xr:uid="{00000000-0005-0000-0000-000005000000}"/>
    <cellStyle name="Normal 3" xfId="7" xr:uid="{00000000-0005-0000-0000-000006000000}"/>
    <cellStyle name="Normale" xfId="0" builtinId="0"/>
    <cellStyle name="Percentuale" xfId="6" builtinId="5"/>
    <cellStyle name="Pourcentage 2" xfId="4" xr:uid="{00000000-0005-0000-0000-000008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0"/>
  <sheetViews>
    <sheetView showGridLines="0" topLeftCell="A4" workbookViewId="0">
      <selection activeCell="E35" sqref="E35"/>
    </sheetView>
  </sheetViews>
  <sheetFormatPr defaultColWidth="9.140625" defaultRowHeight="15" x14ac:dyDescent="0.25"/>
  <cols>
    <col min="1" max="1" width="42.28515625" style="4" customWidth="1"/>
    <col min="2" max="3" width="12.42578125" style="4" customWidth="1"/>
    <col min="4" max="4" width="15.28515625" style="4" customWidth="1"/>
    <col min="5" max="5" width="20.5703125" style="4" bestFit="1" customWidth="1"/>
    <col min="6" max="11" width="14.85546875" style="4" customWidth="1"/>
    <col min="12" max="13" width="12.42578125" style="4" customWidth="1"/>
    <col min="14" max="42" width="12" style="4" bestFit="1" customWidth="1"/>
    <col min="43" max="44" width="11.28515625" style="4" customWidth="1"/>
    <col min="45" max="45" width="10.140625" style="4" bestFit="1" customWidth="1"/>
    <col min="46" max="252" width="11.42578125" style="4" customWidth="1"/>
    <col min="253" max="16384" width="9.140625" style="4"/>
  </cols>
  <sheetData>
    <row r="1" spans="1:12" s="1" customFormat="1" ht="28.5" customHeight="1" x14ac:dyDescent="0.25">
      <c r="A1" s="18" t="s">
        <v>9</v>
      </c>
      <c r="G1" s="9" t="s">
        <v>0</v>
      </c>
      <c r="H1" s="19">
        <v>46022</v>
      </c>
      <c r="I1" s="19"/>
      <c r="J1" s="19"/>
      <c r="K1" s="19"/>
    </row>
    <row r="2" spans="1:12" s="1" customFormat="1" x14ac:dyDescent="0.25">
      <c r="A2" s="9" t="s">
        <v>6</v>
      </c>
    </row>
    <row r="3" spans="1:12" s="1" customFormat="1" x14ac:dyDescent="0.25">
      <c r="A3" s="2"/>
    </row>
    <row r="4" spans="1:12" s="1" customFormat="1" x14ac:dyDescent="0.25">
      <c r="A4" s="2"/>
    </row>
    <row r="5" spans="1:12" s="1" customFormat="1" x14ac:dyDescent="0.25">
      <c r="A5" s="2"/>
    </row>
    <row r="6" spans="1:12" s="6" customFormat="1" ht="15.75" thickBot="1" x14ac:dyDescent="0.3">
      <c r="A6" s="3" t="s">
        <v>58</v>
      </c>
      <c r="B6" s="4"/>
      <c r="C6" s="5" t="s">
        <v>96</v>
      </c>
      <c r="D6" s="9" t="s">
        <v>10</v>
      </c>
      <c r="E6" s="5"/>
      <c r="F6" s="10">
        <f>DAYS360(B8,F7)</f>
        <v>135</v>
      </c>
      <c r="G6" s="10">
        <f>DAYS360(F7,G7)</f>
        <v>360</v>
      </c>
      <c r="H6" s="10">
        <f>DAYS360(G7,H7)</f>
        <v>360</v>
      </c>
      <c r="I6" s="10">
        <f>DAYS360(H7,I7)</f>
        <v>360</v>
      </c>
      <c r="J6" s="10">
        <f>DAYS360(I7,J7)</f>
        <v>360</v>
      </c>
      <c r="K6" s="10">
        <f>DAYS360(J7,K7)</f>
        <v>225</v>
      </c>
    </row>
    <row r="7" spans="1:12" s="7" customFormat="1" ht="16.5" thickTop="1" thickBot="1" x14ac:dyDescent="0.3">
      <c r="A7" s="20" t="s">
        <v>11</v>
      </c>
      <c r="B7" s="194" t="s">
        <v>60</v>
      </c>
      <c r="C7" s="195"/>
      <c r="D7" s="196"/>
      <c r="E7" s="22" t="s">
        <v>1</v>
      </c>
      <c r="F7" s="23">
        <v>43465</v>
      </c>
      <c r="G7" s="23">
        <v>43830</v>
      </c>
      <c r="H7" s="23">
        <v>44196</v>
      </c>
      <c r="I7" s="23">
        <v>44561</v>
      </c>
      <c r="J7" s="23">
        <v>44926</v>
      </c>
      <c r="K7" s="23">
        <v>45153</v>
      </c>
    </row>
    <row r="8" spans="1:12" s="1" customFormat="1" ht="15.75" thickTop="1" x14ac:dyDescent="0.25">
      <c r="A8" s="21" t="s">
        <v>12</v>
      </c>
      <c r="B8" s="33">
        <v>43328</v>
      </c>
      <c r="C8" s="33">
        <v>45153</v>
      </c>
      <c r="D8" s="34">
        <f>DAYS360(B8,$F$7)</f>
        <v>135</v>
      </c>
      <c r="E8" s="35">
        <v>1723.58</v>
      </c>
      <c r="F8" s="29">
        <f>-E8*20%*F6/360-18.32</f>
        <v>-147.58850000000001</v>
      </c>
      <c r="G8" s="29">
        <f>-E8*20%*G6/360</f>
        <v>-344.71600000000001</v>
      </c>
      <c r="H8" s="29">
        <f>-$E8*20%*H6/360</f>
        <v>-344.71600000000001</v>
      </c>
      <c r="I8" s="29">
        <f>-$E8*20%*I6/360</f>
        <v>-344.71600000000001</v>
      </c>
      <c r="J8" s="29">
        <f>-$E8*20%*J6/360</f>
        <v>-344.71600000000001</v>
      </c>
      <c r="K8" s="29">
        <f>-$E8*20%*K6/360+18.32</f>
        <v>-197.12750000000003</v>
      </c>
      <c r="L8" s="31">
        <f>SUM(E8:K8)</f>
        <v>-3.1263880373444408E-13</v>
      </c>
    </row>
    <row r="9" spans="1:12" s="1" customFormat="1" x14ac:dyDescent="0.25">
      <c r="A9" s="36" t="s">
        <v>14</v>
      </c>
      <c r="B9" s="11"/>
      <c r="C9" s="11"/>
      <c r="D9" s="28"/>
      <c r="E9" s="13"/>
      <c r="F9" s="13"/>
      <c r="G9" s="12"/>
      <c r="H9" s="12"/>
      <c r="I9" s="12"/>
      <c r="J9" s="12"/>
      <c r="K9" s="12"/>
      <c r="L9" s="31">
        <f>SUM(E9:K9)</f>
        <v>0</v>
      </c>
    </row>
    <row r="10" spans="1:12" s="1" customFormat="1" x14ac:dyDescent="0.25">
      <c r="A10" s="36" t="s">
        <v>15</v>
      </c>
      <c r="B10" s="11"/>
      <c r="C10" s="11"/>
      <c r="D10" s="28"/>
      <c r="E10" s="13"/>
      <c r="F10" s="13"/>
      <c r="G10" s="12"/>
      <c r="H10" s="12"/>
      <c r="I10" s="12"/>
      <c r="J10" s="12"/>
      <c r="K10" s="12"/>
      <c r="L10" s="31">
        <f>SUM(E10:K10)</f>
        <v>0</v>
      </c>
    </row>
    <row r="11" spans="1:12" x14ac:dyDescent="0.25">
      <c r="B11" s="37" t="s">
        <v>13</v>
      </c>
      <c r="C11" s="14"/>
      <c r="E11" s="37"/>
      <c r="L11" s="32"/>
    </row>
    <row r="12" spans="1:12" x14ac:dyDescent="0.25">
      <c r="B12" s="37" t="s">
        <v>16</v>
      </c>
      <c r="C12" s="38"/>
      <c r="E12" s="37"/>
      <c r="L12" s="32"/>
    </row>
    <row r="13" spans="1:12" x14ac:dyDescent="0.25">
      <c r="G13" s="16"/>
      <c r="I13" s="16"/>
      <c r="J13" s="16"/>
      <c r="K13" s="16"/>
    </row>
    <row r="14" spans="1:12" ht="15.75" thickBot="1" x14ac:dyDescent="0.3">
      <c r="A14" s="3" t="s">
        <v>58</v>
      </c>
      <c r="C14" s="5" t="s">
        <v>96</v>
      </c>
      <c r="D14" s="9" t="s">
        <v>10</v>
      </c>
      <c r="F14" s="10">
        <f>DAYS360(B16,F15)</f>
        <v>14</v>
      </c>
      <c r="G14" s="10">
        <f>DAYS360(F15,G15)</f>
        <v>360</v>
      </c>
      <c r="H14" s="10">
        <f>DAYS360(G15,H15)</f>
        <v>360</v>
      </c>
      <c r="I14" s="10">
        <f t="shared" ref="I14:K14" si="0">DAYS360(H15,I15)</f>
        <v>360</v>
      </c>
      <c r="J14" s="10">
        <f t="shared" si="0"/>
        <v>360</v>
      </c>
      <c r="K14" s="10">
        <f t="shared" si="0"/>
        <v>346</v>
      </c>
    </row>
    <row r="15" spans="1:12" s="7" customFormat="1" ht="16.5" thickTop="1" thickBot="1" x14ac:dyDescent="0.3">
      <c r="A15" s="20" t="s">
        <v>59</v>
      </c>
      <c r="B15" s="194" t="s">
        <v>60</v>
      </c>
      <c r="C15" s="195"/>
      <c r="D15" s="196"/>
      <c r="E15" s="22" t="s">
        <v>1</v>
      </c>
      <c r="F15" s="23">
        <v>44561</v>
      </c>
      <c r="G15" s="23">
        <v>44926</v>
      </c>
      <c r="H15" s="23">
        <v>45291</v>
      </c>
      <c r="I15" s="23">
        <v>45657</v>
      </c>
      <c r="J15" s="23">
        <v>46022</v>
      </c>
      <c r="K15" s="23">
        <v>46372</v>
      </c>
    </row>
    <row r="16" spans="1:12" s="1" customFormat="1" ht="15.75" thickTop="1" x14ac:dyDescent="0.25">
      <c r="A16" s="21" t="s">
        <v>61</v>
      </c>
      <c r="B16" s="33">
        <v>44547</v>
      </c>
      <c r="C16" s="33">
        <v>46372</v>
      </c>
      <c r="D16" s="34">
        <f>DAYS360(B16,$F$15)</f>
        <v>14</v>
      </c>
      <c r="E16" s="35">
        <v>3326.83</v>
      </c>
      <c r="F16" s="29">
        <f t="shared" ref="F16:K16" si="1">-$E$16*F14*20%/360</f>
        <v>-25.875344444444444</v>
      </c>
      <c r="G16" s="29">
        <f t="shared" si="1"/>
        <v>-665.36599999999999</v>
      </c>
      <c r="H16" s="29">
        <f t="shared" si="1"/>
        <v>-665.36599999999999</v>
      </c>
      <c r="I16" s="29">
        <f t="shared" si="1"/>
        <v>-665.36599999999999</v>
      </c>
      <c r="J16" s="29">
        <f t="shared" si="1"/>
        <v>-665.36599999999999</v>
      </c>
      <c r="K16" s="29">
        <f t="shared" si="1"/>
        <v>-639.49065555555558</v>
      </c>
      <c r="L16" s="31">
        <f>SUM(E16:K16)</f>
        <v>0</v>
      </c>
    </row>
    <row r="17" spans="1:13" s="1" customFormat="1" x14ac:dyDescent="0.25">
      <c r="A17" s="21" t="s">
        <v>62</v>
      </c>
      <c r="B17" s="33">
        <v>44547</v>
      </c>
      <c r="C17" s="33">
        <v>46372</v>
      </c>
      <c r="D17" s="34">
        <f>DAYS360(B17,$F$15)</f>
        <v>14</v>
      </c>
      <c r="E17" s="35">
        <v>2500</v>
      </c>
      <c r="F17" s="29">
        <f t="shared" ref="F17:K17" si="2">-$E$17*F14*20%/360</f>
        <v>-19.444444444444443</v>
      </c>
      <c r="G17" s="29">
        <f t="shared" si="2"/>
        <v>-500</v>
      </c>
      <c r="H17" s="29">
        <f t="shared" si="2"/>
        <v>-500</v>
      </c>
      <c r="I17" s="29">
        <f t="shared" si="2"/>
        <v>-500</v>
      </c>
      <c r="J17" s="29">
        <f t="shared" si="2"/>
        <v>-500</v>
      </c>
      <c r="K17" s="29">
        <f t="shared" si="2"/>
        <v>-480.55555555555554</v>
      </c>
      <c r="L17" s="31">
        <f>SUM(E17:K17)</f>
        <v>0</v>
      </c>
    </row>
    <row r="18" spans="1:13" s="1" customFormat="1" x14ac:dyDescent="0.25">
      <c r="A18" s="36"/>
      <c r="B18" s="11"/>
      <c r="C18" s="11"/>
      <c r="D18" s="28"/>
      <c r="E18" s="13"/>
      <c r="F18" s="13"/>
      <c r="G18" s="12"/>
      <c r="H18" s="12"/>
      <c r="I18" s="12"/>
      <c r="J18" s="12"/>
      <c r="K18" s="12"/>
      <c r="L18" s="31">
        <f>SUM(E18:K18)</f>
        <v>0</v>
      </c>
    </row>
    <row r="19" spans="1:13" x14ac:dyDescent="0.25">
      <c r="B19" s="37"/>
      <c r="C19" s="38"/>
      <c r="E19" s="37"/>
      <c r="L19" s="32"/>
    </row>
    <row r="20" spans="1:13" x14ac:dyDescent="0.25">
      <c r="F20" s="10"/>
      <c r="G20" s="10"/>
      <c r="H20" s="10"/>
      <c r="I20" s="10"/>
      <c r="J20" s="10"/>
      <c r="K20" s="10"/>
    </row>
    <row r="21" spans="1:13" ht="15.75" thickBot="1" x14ac:dyDescent="0.3">
      <c r="A21" s="3" t="s">
        <v>58</v>
      </c>
      <c r="C21" s="5" t="s">
        <v>96</v>
      </c>
      <c r="D21" s="9" t="s">
        <v>10</v>
      </c>
      <c r="E21" s="5"/>
      <c r="F21" s="10">
        <f>DAYS360(B23,F22)</f>
        <v>294</v>
      </c>
      <c r="G21" s="10">
        <f>DAYS360(F22,G22)</f>
        <v>360</v>
      </c>
      <c r="H21" s="10">
        <f t="shared" ref="H21:K21" si="3">DAYS360(G22,H22)</f>
        <v>360</v>
      </c>
      <c r="I21" s="10">
        <f t="shared" si="3"/>
        <v>360</v>
      </c>
      <c r="J21" s="10">
        <f t="shared" si="3"/>
        <v>360</v>
      </c>
      <c r="K21" s="10">
        <f t="shared" si="3"/>
        <v>66</v>
      </c>
      <c r="L21" s="6"/>
    </row>
    <row r="22" spans="1:13" ht="16.5" thickTop="1" thickBot="1" x14ac:dyDescent="0.3">
      <c r="A22" s="20" t="s">
        <v>11</v>
      </c>
      <c r="B22" s="194" t="s">
        <v>60</v>
      </c>
      <c r="C22" s="195"/>
      <c r="D22" s="196"/>
      <c r="E22" s="22" t="s">
        <v>1</v>
      </c>
      <c r="F22" s="23">
        <v>44926</v>
      </c>
      <c r="G22" s="23">
        <f>F22+365</f>
        <v>45291</v>
      </c>
      <c r="H22" s="23">
        <f>G22+366</f>
        <v>45657</v>
      </c>
      <c r="I22" s="23">
        <f>H22+365</f>
        <v>46022</v>
      </c>
      <c r="J22" s="23">
        <f>I22+365</f>
        <v>46387</v>
      </c>
      <c r="K22" s="23">
        <v>46452</v>
      </c>
      <c r="L22" s="7"/>
    </row>
    <row r="23" spans="1:13" ht="15.75" thickTop="1" x14ac:dyDescent="0.25">
      <c r="A23" s="21" t="s">
        <v>94</v>
      </c>
      <c r="B23" s="33">
        <v>44627</v>
      </c>
      <c r="C23" s="33">
        <v>46452</v>
      </c>
      <c r="D23" s="34">
        <f>DAYS360(B23,F22)</f>
        <v>294</v>
      </c>
      <c r="E23" s="35">
        <v>62.55</v>
      </c>
      <c r="F23" s="29">
        <f>-E23*20%*D23/360</f>
        <v>-10.2165</v>
      </c>
      <c r="G23" s="29">
        <f>-E23*20%*G21/360</f>
        <v>-12.510000000000002</v>
      </c>
      <c r="H23" s="29">
        <f>-$E23*20%*H21/360</f>
        <v>-12.510000000000002</v>
      </c>
      <c r="I23" s="29">
        <f>-$E23*20%*I21/360</f>
        <v>-12.510000000000002</v>
      </c>
      <c r="J23" s="29">
        <f>-$E23*20%*J21/360</f>
        <v>-12.510000000000002</v>
      </c>
      <c r="K23" s="29">
        <f>-$E23*20%*K21/360</f>
        <v>-2.2934999999999999</v>
      </c>
      <c r="L23" s="31">
        <f>SUM(E23:K23)</f>
        <v>-8.8817841970012523E-15</v>
      </c>
    </row>
    <row r="24" spans="1:13" x14ac:dyDescent="0.25">
      <c r="A24" s="21"/>
      <c r="B24" s="33"/>
      <c r="C24" s="33"/>
      <c r="D24" s="34"/>
      <c r="E24" s="35"/>
      <c r="F24" s="29"/>
      <c r="G24" s="29"/>
      <c r="H24" s="29"/>
      <c r="I24" s="29"/>
      <c r="J24" s="29"/>
      <c r="K24" s="29"/>
      <c r="L24" s="31"/>
    </row>
    <row r="25" spans="1:13" x14ac:dyDescent="0.25">
      <c r="B25" s="37"/>
      <c r="C25" s="38"/>
      <c r="E25" s="37"/>
      <c r="L25" s="31"/>
    </row>
    <row r="26" spans="1:13" ht="15.75" thickBot="1" x14ac:dyDescent="0.3">
      <c r="B26" s="37"/>
      <c r="C26" s="38"/>
      <c r="E26" s="37"/>
      <c r="F26" s="10">
        <f>DAYS360(B28,F27)</f>
        <v>11</v>
      </c>
      <c r="G26" s="10">
        <f>DAYS360(F27,G27)</f>
        <v>360</v>
      </c>
      <c r="H26" s="10">
        <f t="shared" ref="H26" si="4">DAYS360(G27,H27)</f>
        <v>360</v>
      </c>
      <c r="I26" s="10">
        <f t="shared" ref="I26" si="5">DAYS360(H27,I27)</f>
        <v>360</v>
      </c>
      <c r="J26" s="10">
        <f t="shared" ref="J26" si="6">DAYS360(I27,J27)</f>
        <v>360</v>
      </c>
      <c r="K26" s="10">
        <f t="shared" ref="K26:L26" si="7">DAYS360(J27,K27)</f>
        <v>360</v>
      </c>
      <c r="L26" s="10">
        <f t="shared" si="7"/>
        <v>360</v>
      </c>
      <c r="M26" s="32"/>
    </row>
    <row r="27" spans="1:13" ht="16.5" thickTop="1" thickBot="1" x14ac:dyDescent="0.3">
      <c r="A27" s="20" t="s">
        <v>11</v>
      </c>
      <c r="B27" s="194" t="s">
        <v>60</v>
      </c>
      <c r="C27" s="195"/>
      <c r="D27" s="196"/>
      <c r="E27" s="22" t="s">
        <v>1</v>
      </c>
      <c r="F27" s="23">
        <v>44926</v>
      </c>
      <c r="G27" s="23">
        <f>F27+365</f>
        <v>45291</v>
      </c>
      <c r="H27" s="23">
        <f>G27+366</f>
        <v>45657</v>
      </c>
      <c r="I27" s="23">
        <f>H27+365</f>
        <v>46022</v>
      </c>
      <c r="J27" s="23">
        <f>I27+365</f>
        <v>46387</v>
      </c>
      <c r="K27" s="23">
        <v>46752</v>
      </c>
      <c r="L27" s="23">
        <v>47118</v>
      </c>
      <c r="M27" s="7"/>
    </row>
    <row r="28" spans="1:13" ht="15.75" thickTop="1" x14ac:dyDescent="0.25">
      <c r="A28" s="21" t="s">
        <v>95</v>
      </c>
      <c r="B28" s="33">
        <v>44915</v>
      </c>
      <c r="C28" s="33">
        <v>46740</v>
      </c>
      <c r="D28" s="34">
        <f>DAYS360(B28,F27)</f>
        <v>11</v>
      </c>
      <c r="E28" s="35">
        <v>1205.75</v>
      </c>
      <c r="F28" s="29">
        <f>-$E$28*20%*D28/360</f>
        <v>-7.3684722222222225</v>
      </c>
      <c r="G28" s="29">
        <f>-$E$28*20%*G26/360</f>
        <v>-241.15</v>
      </c>
      <c r="H28" s="29">
        <f>-$E$28*20%*H26/360</f>
        <v>-241.15</v>
      </c>
      <c r="I28" s="29">
        <f>-$E$28*20%*I26/360</f>
        <v>-241.15</v>
      </c>
      <c r="J28" s="29">
        <f>-$E$28*20%*J26/360</f>
        <v>-241.15</v>
      </c>
      <c r="K28" s="29">
        <f>-$E$28*20%*(K26-D28)/360</f>
        <v>-233.7815277777778</v>
      </c>
      <c r="L28" s="29"/>
      <c r="M28" s="31">
        <f>SUM(E28:L28)</f>
        <v>0</v>
      </c>
    </row>
    <row r="29" spans="1:13" x14ac:dyDescent="0.25">
      <c r="A29" s="89" t="s">
        <v>97</v>
      </c>
      <c r="B29" s="90">
        <v>45084</v>
      </c>
      <c r="C29" s="90">
        <v>46911</v>
      </c>
      <c r="D29" s="34">
        <f>DAYS360(B29,$G$27)</f>
        <v>204</v>
      </c>
      <c r="E29" s="91">
        <v>1500</v>
      </c>
      <c r="F29" s="29"/>
      <c r="G29" s="29">
        <f>-$E$29*20%*D29/360</f>
        <v>-170</v>
      </c>
      <c r="H29" s="29">
        <f>-$E$29*20%*H26/360</f>
        <v>-300</v>
      </c>
      <c r="I29" s="29">
        <f>-$E$29*20%*I26/360</f>
        <v>-300</v>
      </c>
      <c r="J29" s="29">
        <f>-$E$29*20%*J26/360</f>
        <v>-300</v>
      </c>
      <c r="K29" s="29">
        <f>-$E$29*20%*K26/360</f>
        <v>-300</v>
      </c>
      <c r="L29" s="29">
        <f>-$E$29*20%*(L26-D29)/360</f>
        <v>-130</v>
      </c>
      <c r="M29" s="31">
        <f>SUM(E29:L29)</f>
        <v>0</v>
      </c>
    </row>
    <row r="30" spans="1:13" x14ac:dyDescent="0.25">
      <c r="B30" s="37"/>
      <c r="C30" s="38"/>
      <c r="E30" s="37"/>
      <c r="M30" s="32"/>
    </row>
    <row r="31" spans="1:13" x14ac:dyDescent="0.25">
      <c r="A31" s="24"/>
      <c r="B31" s="193" t="s">
        <v>2</v>
      </c>
      <c r="C31" s="193"/>
      <c r="D31" s="193"/>
      <c r="E31" s="25">
        <f>+E8+E16+E17+E23+E28+E29</f>
        <v>10318.709999999999</v>
      </c>
      <c r="F31" s="25">
        <f>+F8+F16+F17+F23+F28+F29</f>
        <v>-210.49326111111108</v>
      </c>
      <c r="G31" s="25">
        <f t="shared" ref="G31:L31" si="8">+G8+G16+G17+G23+G28+G29</f>
        <v>-1933.742</v>
      </c>
      <c r="H31" s="25">
        <f t="shared" si="8"/>
        <v>-2063.7420000000002</v>
      </c>
      <c r="I31" s="25">
        <f t="shared" si="8"/>
        <v>-2063.7420000000002</v>
      </c>
      <c r="J31" s="25">
        <f t="shared" si="8"/>
        <v>-2063.7420000000002</v>
      </c>
      <c r="K31" s="25">
        <f t="shared" si="8"/>
        <v>-1853.248738888889</v>
      </c>
      <c r="L31" s="25">
        <f t="shared" si="8"/>
        <v>-130.00000000000031</v>
      </c>
      <c r="M31" s="31">
        <f>SUM(E31:L31)</f>
        <v>-1.6768808563938364E-12</v>
      </c>
    </row>
    <row r="32" spans="1:13" x14ac:dyDescent="0.25">
      <c r="A32" s="17" t="s">
        <v>157</v>
      </c>
      <c r="C32" s="6" t="s">
        <v>4</v>
      </c>
      <c r="D32" s="15" t="s">
        <v>7</v>
      </c>
      <c r="E32" s="80">
        <f>+F8+G8+H8+I8+J8+F16+G16+F17+G17+F23+F28-0.02+K8+H16+H17+G23+G28+G29+I16+I17+H23+H28+H29</f>
        <v>-6259.922761111111</v>
      </c>
      <c r="H32" s="8"/>
      <c r="I32" s="8"/>
      <c r="J32" s="8"/>
      <c r="K32" s="8"/>
    </row>
    <row r="33" spans="1:11" x14ac:dyDescent="0.25">
      <c r="A33" s="17" t="s">
        <v>156</v>
      </c>
      <c r="C33" s="6" t="s">
        <v>4</v>
      </c>
      <c r="D33" s="15">
        <f>+H1</f>
        <v>46022</v>
      </c>
      <c r="E33" s="103">
        <f>+J16+J17+I23+I28+I29</f>
        <v>-1719.0260000000001</v>
      </c>
      <c r="H33" s="8"/>
      <c r="I33" s="8"/>
      <c r="J33" s="8"/>
      <c r="K33" s="8"/>
    </row>
    <row r="34" spans="1:11" ht="15.75" thickBot="1" x14ac:dyDescent="0.3">
      <c r="C34" s="26" t="s">
        <v>3</v>
      </c>
      <c r="D34" s="27">
        <f>+H1</f>
        <v>46022</v>
      </c>
      <c r="E34" s="30">
        <f>+E31+E32+E33</f>
        <v>2339.7612388888883</v>
      </c>
      <c r="I34" s="16"/>
      <c r="J34" s="16"/>
      <c r="K34" s="16"/>
    </row>
    <row r="35" spans="1:11" ht="15.75" thickTop="1" x14ac:dyDescent="0.25">
      <c r="D35" s="15"/>
      <c r="E35" s="15"/>
    </row>
    <row r="40" spans="1:11" x14ac:dyDescent="0.25">
      <c r="E40" s="16"/>
    </row>
  </sheetData>
  <mergeCells count="5">
    <mergeCell ref="B31:D31"/>
    <mergeCell ref="B27:D27"/>
    <mergeCell ref="B7:D7"/>
    <mergeCell ref="B15:D15"/>
    <mergeCell ref="B22:D22"/>
  </mergeCells>
  <phoneticPr fontId="0" type="noConversion"/>
  <pageMargins left="0.15748031496062992" right="0.15748031496062992" top="0.27559055118110237" bottom="0.23622047244094491" header="0.27559055118110237" footer="0.15748031496062992"/>
  <pageSetup scale="7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7"/>
  <sheetViews>
    <sheetView showGridLines="0" workbookViewId="0">
      <selection activeCell="A23" sqref="A23"/>
    </sheetView>
  </sheetViews>
  <sheetFormatPr defaultColWidth="9.140625" defaultRowHeight="15" x14ac:dyDescent="0.25"/>
  <cols>
    <col min="1" max="1" width="12.140625" style="4" bestFit="1" customWidth="1"/>
    <col min="2" max="3" width="19.5703125" style="4" customWidth="1"/>
    <col min="4" max="4" width="10" style="4" bestFit="1" customWidth="1"/>
    <col min="5" max="5" width="19.5703125" style="4" customWidth="1"/>
    <col min="6" max="6" width="12.85546875" style="4" customWidth="1"/>
    <col min="7" max="8" width="19.5703125" style="4" customWidth="1"/>
    <col min="9" max="9" width="8.7109375" style="4" customWidth="1"/>
    <col min="10" max="10" width="24.28515625" style="4" customWidth="1"/>
    <col min="11" max="11" width="17.42578125" style="4" customWidth="1"/>
    <col min="12" max="12" width="10" style="4" bestFit="1" customWidth="1"/>
    <col min="13" max="13" width="17.28515625" style="4" bestFit="1" customWidth="1"/>
    <col min="14" max="14" width="13.140625" style="4" customWidth="1"/>
    <col min="15" max="15" width="12.42578125" style="4" customWidth="1"/>
    <col min="16" max="44" width="12" style="4" bestFit="1" customWidth="1"/>
    <col min="45" max="46" width="11.28515625" style="4" customWidth="1"/>
    <col min="47" max="47" width="10.140625" style="4" bestFit="1" customWidth="1"/>
    <col min="48" max="254" width="11.42578125" style="4" customWidth="1"/>
    <col min="255" max="16384" width="9.140625" style="4"/>
  </cols>
  <sheetData>
    <row r="1" spans="1:15" s="1" customFormat="1" ht="28.5" customHeight="1" x14ac:dyDescent="0.25">
      <c r="A1" s="18" t="s">
        <v>9</v>
      </c>
      <c r="G1" s="9" t="s">
        <v>0</v>
      </c>
      <c r="H1" s="19">
        <f>AMORT!H1</f>
        <v>46022</v>
      </c>
      <c r="K1" s="19"/>
      <c r="L1" s="19"/>
      <c r="M1" s="19"/>
    </row>
    <row r="2" spans="1:15" s="1" customFormat="1" x14ac:dyDescent="0.25">
      <c r="A2" s="9" t="s">
        <v>17</v>
      </c>
    </row>
    <row r="3" spans="1:15" s="1" customFormat="1" x14ac:dyDescent="0.25">
      <c r="A3" s="2"/>
    </row>
    <row r="4" spans="1:15" s="1" customFormat="1" x14ac:dyDescent="0.25">
      <c r="A4" s="2"/>
    </row>
    <row r="5" spans="1:15" s="1" customFormat="1" x14ac:dyDescent="0.25">
      <c r="A5" s="2" t="s">
        <v>21</v>
      </c>
    </row>
    <row r="6" spans="1:15" s="41" customFormat="1" ht="30" x14ac:dyDescent="0.25">
      <c r="A6" s="40" t="s">
        <v>5</v>
      </c>
      <c r="B6" s="40" t="s">
        <v>22</v>
      </c>
      <c r="C6" s="40" t="s">
        <v>18</v>
      </c>
      <c r="D6" s="40" t="s">
        <v>36</v>
      </c>
      <c r="E6" s="40" t="s">
        <v>19</v>
      </c>
      <c r="F6" s="40" t="s">
        <v>20</v>
      </c>
      <c r="G6" s="40" t="s">
        <v>23</v>
      </c>
      <c r="H6" s="40" t="s">
        <v>24</v>
      </c>
      <c r="J6" s="48" t="s">
        <v>39</v>
      </c>
      <c r="K6" s="48" t="s">
        <v>18</v>
      </c>
      <c r="L6" s="48" t="s">
        <v>36</v>
      </c>
      <c r="M6" s="48" t="s">
        <v>19</v>
      </c>
      <c r="N6" s="48" t="s">
        <v>42</v>
      </c>
    </row>
    <row r="7" spans="1:15" s="3" customFormat="1" ht="12" customHeight="1" x14ac:dyDescent="0.25">
      <c r="B7" s="43">
        <v>13184044</v>
      </c>
      <c r="C7" s="46">
        <v>13184044</v>
      </c>
      <c r="D7" s="4">
        <v>1</v>
      </c>
      <c r="E7" s="43">
        <f>+C7*D7</f>
        <v>13184044</v>
      </c>
      <c r="F7" s="57">
        <f>+E7/B7</f>
        <v>1</v>
      </c>
      <c r="G7" s="44">
        <v>4774300</v>
      </c>
      <c r="H7" s="44">
        <f>+G7</f>
        <v>4774300</v>
      </c>
      <c r="J7" s="60" t="s">
        <v>40</v>
      </c>
      <c r="K7" s="61">
        <f>10000000-10000-3320000-3330000</f>
        <v>3340000</v>
      </c>
      <c r="L7" s="60">
        <v>0.01</v>
      </c>
      <c r="M7" s="62">
        <f>+K7*L7</f>
        <v>33400</v>
      </c>
      <c r="N7" s="63">
        <f>+M7/B17</f>
        <v>3.0407744178737811E-3</v>
      </c>
      <c r="O7" s="4"/>
    </row>
    <row r="8" spans="1:15" s="3" customFormat="1" ht="12" customHeight="1" x14ac:dyDescent="0.25">
      <c r="A8" s="42">
        <v>43102</v>
      </c>
      <c r="B8" s="43">
        <v>13184044</v>
      </c>
      <c r="C8" s="46"/>
      <c r="E8" s="43">
        <f>+E7+C8*D8</f>
        <v>13184044</v>
      </c>
      <c r="F8" s="57">
        <f>+E8/B8</f>
        <v>1</v>
      </c>
      <c r="G8" s="44">
        <v>1214200</v>
      </c>
      <c r="H8" s="44">
        <f>+H7+G8</f>
        <v>5988500</v>
      </c>
      <c r="J8" s="200" t="s">
        <v>41</v>
      </c>
      <c r="K8" s="61">
        <f>10000+3320000</f>
        <v>3330000</v>
      </c>
      <c r="L8" s="60">
        <v>0.01</v>
      </c>
      <c r="M8" s="62">
        <f>+K8*L8</f>
        <v>33300</v>
      </c>
      <c r="N8" s="63">
        <f>+M8/B17</f>
        <v>3.0316703028502069E-3</v>
      </c>
      <c r="O8" s="42"/>
    </row>
    <row r="9" spans="1:15" s="3" customFormat="1" ht="12" customHeight="1" x14ac:dyDescent="0.25">
      <c r="C9" s="46"/>
      <c r="E9" s="37" t="s">
        <v>25</v>
      </c>
      <c r="F9" s="57"/>
      <c r="G9" s="44"/>
      <c r="H9" s="44"/>
      <c r="J9" s="200"/>
      <c r="K9" s="41"/>
      <c r="L9" s="41"/>
      <c r="M9" s="41"/>
      <c r="N9" s="41"/>
      <c r="O9" s="42"/>
    </row>
    <row r="10" spans="1:15" s="3" customFormat="1" ht="16.149999999999999" customHeight="1" x14ac:dyDescent="0.25">
      <c r="C10" s="46"/>
      <c r="E10" s="37"/>
      <c r="F10" s="57"/>
      <c r="G10" s="44"/>
      <c r="H10" s="44"/>
      <c r="J10" s="200"/>
      <c r="K10" s="41"/>
      <c r="L10" s="41"/>
      <c r="M10" s="41"/>
      <c r="N10" s="41"/>
    </row>
    <row r="11" spans="1:15" s="3" customFormat="1" ht="12" customHeight="1" x14ac:dyDescent="0.25">
      <c r="A11" s="197" t="s">
        <v>37</v>
      </c>
      <c r="B11" s="198"/>
      <c r="C11" s="199"/>
      <c r="E11" s="37"/>
      <c r="F11" s="57"/>
      <c r="G11" s="44"/>
      <c r="H11" s="44"/>
      <c r="J11" s="200" t="s">
        <v>43</v>
      </c>
      <c r="K11" s="61">
        <f>10000+3320000</f>
        <v>3330000</v>
      </c>
      <c r="L11" s="60">
        <v>0.01</v>
      </c>
      <c r="M11" s="62">
        <f>+K11*L11</f>
        <v>33300</v>
      </c>
      <c r="N11" s="63">
        <f>+M11/B17</f>
        <v>3.0316703028502069E-3</v>
      </c>
      <c r="O11" s="42"/>
    </row>
    <row r="12" spans="1:15" s="3" customFormat="1" ht="12" customHeight="1" x14ac:dyDescent="0.25">
      <c r="A12" s="42">
        <v>44490</v>
      </c>
      <c r="B12" s="43">
        <f>+B8</f>
        <v>13184044</v>
      </c>
      <c r="C12" s="46">
        <v>1318404400</v>
      </c>
      <c r="D12" s="4">
        <v>0.01</v>
      </c>
      <c r="E12" s="43">
        <f>C12*D12</f>
        <v>13184044</v>
      </c>
      <c r="F12" s="57">
        <f>+E12/B12</f>
        <v>1</v>
      </c>
      <c r="G12" s="44"/>
      <c r="H12" s="44">
        <f>+H8+G12</f>
        <v>5988500</v>
      </c>
      <c r="J12" s="200"/>
    </row>
    <row r="13" spans="1:15" s="3" customFormat="1" ht="12" customHeight="1" x14ac:dyDescent="0.25">
      <c r="A13" s="42">
        <v>44490</v>
      </c>
      <c r="B13" s="43">
        <f>+B12-2700000</f>
        <v>10484044</v>
      </c>
      <c r="C13" s="46">
        <v>-270000000</v>
      </c>
      <c r="D13" s="4">
        <v>0.01</v>
      </c>
      <c r="E13" s="43">
        <f>+E12+C13*D13</f>
        <v>10484044</v>
      </c>
      <c r="F13" s="57">
        <f>+E13/B13</f>
        <v>1</v>
      </c>
      <c r="G13" s="44">
        <f>+(C13*D13)/5.56*0.86176+0.01</f>
        <v>-418480.56553956831</v>
      </c>
      <c r="H13" s="44">
        <f>+H12+G13</f>
        <v>5570019.4344604313</v>
      </c>
      <c r="J13" s="200"/>
      <c r="K13" s="46"/>
      <c r="L13" s="4"/>
      <c r="M13" s="43"/>
    </row>
    <row r="14" spans="1:15" s="3" customFormat="1" ht="12" customHeight="1" x14ac:dyDescent="0.25">
      <c r="A14" s="42">
        <v>44490</v>
      </c>
      <c r="B14" s="43">
        <f>+B13</f>
        <v>10484044</v>
      </c>
      <c r="C14" s="46">
        <v>-10000000</v>
      </c>
      <c r="D14" s="4">
        <v>0.01</v>
      </c>
      <c r="E14" s="43">
        <f>+E13+C14*D14</f>
        <v>10384044</v>
      </c>
      <c r="F14" s="57">
        <f>+E14/B14</f>
        <v>0.99046169588757926</v>
      </c>
      <c r="G14" s="44"/>
      <c r="H14" s="44">
        <f>+H13+G14</f>
        <v>5570019.4344604313</v>
      </c>
      <c r="I14" s="4"/>
      <c r="J14" s="200"/>
      <c r="K14" s="46"/>
      <c r="L14" s="4"/>
      <c r="M14" s="43"/>
      <c r="N14" s="54"/>
    </row>
    <row r="15" spans="1:15" s="3" customFormat="1" x14ac:dyDescent="0.25">
      <c r="A15" s="49">
        <v>44490</v>
      </c>
      <c r="B15" s="50">
        <f>+B14</f>
        <v>10484044</v>
      </c>
      <c r="C15" s="51"/>
      <c r="D15" s="52">
        <v>0.01</v>
      </c>
      <c r="E15" s="50">
        <f>+E14+C15*D15</f>
        <v>10384044</v>
      </c>
      <c r="F15" s="58">
        <f>+E15/B15</f>
        <v>0.99046169588757926</v>
      </c>
      <c r="G15" s="53"/>
      <c r="H15" s="53">
        <f>+H14+G15</f>
        <v>5570019.4344604313</v>
      </c>
      <c r="I15" s="4"/>
      <c r="J15" s="55"/>
      <c r="K15" s="51"/>
      <c r="L15" s="52"/>
      <c r="M15" s="50"/>
      <c r="N15" s="56"/>
    </row>
    <row r="16" spans="1:15" s="3" customFormat="1" x14ac:dyDescent="0.25">
      <c r="A16" s="197" t="s">
        <v>99</v>
      </c>
      <c r="B16" s="198"/>
      <c r="C16" s="199"/>
      <c r="D16" s="52"/>
      <c r="E16" s="50"/>
      <c r="F16" s="58"/>
      <c r="G16" s="53"/>
      <c r="H16" s="53"/>
      <c r="I16" s="4"/>
      <c r="J16" s="55"/>
      <c r="K16" s="51"/>
      <c r="L16" s="52"/>
      <c r="M16" s="50"/>
      <c r="N16" s="56"/>
    </row>
    <row r="17" spans="1:15" s="3" customFormat="1" x14ac:dyDescent="0.25">
      <c r="A17" s="49">
        <v>44931</v>
      </c>
      <c r="B17" s="50">
        <f>+B15+500000</f>
        <v>10984044</v>
      </c>
      <c r="C17" s="51">
        <v>50000000</v>
      </c>
      <c r="D17" s="52">
        <v>0.01</v>
      </c>
      <c r="E17" s="50">
        <f>+E15+C17*D17</f>
        <v>10884044</v>
      </c>
      <c r="F17" s="58">
        <f>+E17/B17</f>
        <v>0.99089588497642578</v>
      </c>
      <c r="G17" s="53">
        <v>87627.06</v>
      </c>
      <c r="H17" s="53">
        <f>+H15+G17</f>
        <v>5657646.4944604309</v>
      </c>
      <c r="I17" s="4"/>
      <c r="J17" s="55"/>
      <c r="K17" s="51"/>
      <c r="L17" s="52"/>
      <c r="M17" s="50"/>
      <c r="N17" s="56"/>
    </row>
    <row r="18" spans="1:15" s="3" customFormat="1" ht="12" customHeight="1" x14ac:dyDescent="0.25">
      <c r="A18" s="42"/>
      <c r="B18" s="43"/>
      <c r="C18" s="46"/>
      <c r="D18" s="4"/>
      <c r="E18" s="43"/>
      <c r="F18" s="47"/>
      <c r="G18" s="44"/>
      <c r="H18" s="44"/>
      <c r="I18" s="4"/>
    </row>
    <row r="19" spans="1:15" s="3" customFormat="1" ht="12" customHeight="1" x14ac:dyDescent="0.25">
      <c r="A19" s="4"/>
      <c r="C19" s="46"/>
      <c r="D19" s="4"/>
      <c r="E19" s="43"/>
      <c r="F19" s="47"/>
      <c r="G19" s="44"/>
      <c r="H19" s="44"/>
    </row>
    <row r="20" spans="1:15" s="3" customFormat="1" ht="12" customHeight="1" x14ac:dyDescent="0.25">
      <c r="A20" s="39" t="s">
        <v>8</v>
      </c>
      <c r="B20" s="39"/>
      <c r="C20" s="39"/>
      <c r="D20" s="39"/>
      <c r="E20" s="39"/>
      <c r="F20" s="40"/>
      <c r="G20" s="40"/>
      <c r="H20" s="45">
        <f>+H17</f>
        <v>5657646.4944604309</v>
      </c>
      <c r="N20" s="59">
        <f>SUM(N7:N18)</f>
        <v>9.1041150235741941E-3</v>
      </c>
      <c r="O20" s="59">
        <f>+F17+N20</f>
        <v>1</v>
      </c>
    </row>
    <row r="21" spans="1:15" s="3" customFormat="1" ht="12" customHeight="1" x14ac:dyDescent="0.25"/>
    <row r="22" spans="1:15" s="3" customFormat="1" ht="12" customHeight="1" x14ac:dyDescent="0.25"/>
    <row r="23" spans="1:15" s="3" customFormat="1" ht="12" customHeight="1" x14ac:dyDescent="0.25"/>
    <row r="24" spans="1:15" s="3" customFormat="1" ht="12" customHeight="1" x14ac:dyDescent="0.25">
      <c r="M24" s="3" t="s">
        <v>148</v>
      </c>
    </row>
    <row r="25" spans="1:15" s="3" customFormat="1" ht="12" customHeight="1" x14ac:dyDescent="0.25">
      <c r="J25" s="104" t="s">
        <v>106</v>
      </c>
      <c r="K25" s="4"/>
    </row>
    <row r="26" spans="1:15" x14ac:dyDescent="0.25">
      <c r="I26" s="16"/>
      <c r="J26" s="104" t="s">
        <v>107</v>
      </c>
      <c r="L26" s="16"/>
      <c r="M26" s="16"/>
    </row>
    <row r="27" spans="1:15" x14ac:dyDescent="0.25">
      <c r="I27" s="16"/>
      <c r="J27" s="16" t="s">
        <v>149</v>
      </c>
      <c r="K27" s="112">
        <v>6623682.46</v>
      </c>
      <c r="M27" s="103">
        <f>+K27*'LOAN ARCO IRIS'!M17</f>
        <v>1030876.8196620999</v>
      </c>
    </row>
    <row r="28" spans="1:15" x14ac:dyDescent="0.25">
      <c r="I28" s="16"/>
      <c r="J28" s="4" t="s">
        <v>150</v>
      </c>
      <c r="K28" s="112">
        <v>-12696.82</v>
      </c>
      <c r="M28" s="103">
        <f>+K28*'LOAN ARCO IRIS'!M17</f>
        <v>-1976.0695807</v>
      </c>
    </row>
    <row r="29" spans="1:15" x14ac:dyDescent="0.25">
      <c r="I29" s="16"/>
      <c r="J29" s="16"/>
    </row>
    <row r="30" spans="1:15" ht="15.75" thickBot="1" x14ac:dyDescent="0.3"/>
    <row r="31" spans="1:15" ht="19.5" thickBot="1" x14ac:dyDescent="0.3">
      <c r="B31" s="70" t="s">
        <v>63</v>
      </c>
      <c r="C31" s="71">
        <f>+H20+'LOAN ARCO IRIS'!D32</f>
        <v>6205953.3744604308</v>
      </c>
      <c r="I31" s="16"/>
    </row>
    <row r="34" spans="7:10" x14ac:dyDescent="0.25">
      <c r="J34" s="6"/>
    </row>
    <row r="35" spans="7:10" x14ac:dyDescent="0.25">
      <c r="H35" s="101"/>
      <c r="I35" s="102"/>
      <c r="J35" s="103"/>
    </row>
    <row r="36" spans="7:10" x14ac:dyDescent="0.25">
      <c r="H36" s="101"/>
      <c r="I36" s="102"/>
    </row>
    <row r="37" spans="7:10" x14ac:dyDescent="0.25">
      <c r="H37" s="101"/>
      <c r="I37" s="102"/>
      <c r="J37" s="103"/>
    </row>
    <row r="44" spans="7:10" x14ac:dyDescent="0.25">
      <c r="G44" s="104"/>
    </row>
    <row r="47" spans="7:10" x14ac:dyDescent="0.25">
      <c r="G47" s="104"/>
    </row>
  </sheetData>
  <mergeCells count="4">
    <mergeCell ref="A11:C11"/>
    <mergeCell ref="J8:J10"/>
    <mergeCell ref="J11:J14"/>
    <mergeCell ref="A16:C16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3C5C-55C6-48A0-9351-2A453951653E}">
  <sheetPr>
    <pageSetUpPr fitToPage="1"/>
  </sheetPr>
  <dimension ref="A1:S53"/>
  <sheetViews>
    <sheetView topLeftCell="E1" zoomScale="115" zoomScaleNormal="115" workbookViewId="0">
      <selection activeCell="O11" sqref="O11"/>
    </sheetView>
  </sheetViews>
  <sheetFormatPr defaultColWidth="9.140625" defaultRowHeight="12.75" x14ac:dyDescent="0.2"/>
  <cols>
    <col min="1" max="1" width="11.85546875" style="116" customWidth="1"/>
    <col min="2" max="2" width="13.7109375" style="116" bestFit="1" customWidth="1"/>
    <col min="3" max="3" width="15.5703125" style="116" customWidth="1"/>
    <col min="4" max="4" width="14.7109375" style="116" customWidth="1"/>
    <col min="5" max="5" width="6.7109375" style="116" customWidth="1"/>
    <col min="6" max="15" width="14.5703125" style="116" customWidth="1"/>
    <col min="16" max="16" width="13.42578125" style="116" customWidth="1"/>
    <col min="17" max="17" width="15.28515625" style="116" bestFit="1" customWidth="1"/>
    <col min="18" max="18" width="14.28515625" style="116" bestFit="1" customWidth="1"/>
    <col min="19" max="43" width="12" style="116" bestFit="1" customWidth="1"/>
    <col min="44" max="45" width="11.28515625" style="116" customWidth="1"/>
    <col min="46" max="46" width="10.140625" style="116" bestFit="1" customWidth="1"/>
    <col min="47" max="253" width="11.42578125" style="116" customWidth="1"/>
    <col min="254" max="16384" width="9.140625" style="116"/>
  </cols>
  <sheetData>
    <row r="1" spans="1:19" s="106" customFormat="1" ht="28.5" customHeight="1" x14ac:dyDescent="0.2">
      <c r="A1" s="105" t="s">
        <v>9</v>
      </c>
      <c r="B1" s="105"/>
      <c r="F1" s="107" t="s">
        <v>0</v>
      </c>
      <c r="G1" s="129">
        <v>46022</v>
      </c>
    </row>
    <row r="2" spans="1:19" s="106" customFormat="1" x14ac:dyDescent="0.2">
      <c r="A2" s="107" t="s">
        <v>26</v>
      </c>
      <c r="B2" s="107"/>
    </row>
    <row r="3" spans="1:19" s="106" customFormat="1" x14ac:dyDescent="0.2">
      <c r="A3" s="108"/>
      <c r="B3" s="108"/>
    </row>
    <row r="4" spans="1:19" s="106" customFormat="1" x14ac:dyDescent="0.2">
      <c r="A4" s="108"/>
      <c r="B4" s="108"/>
    </row>
    <row r="5" spans="1:19" s="106" customFormat="1" x14ac:dyDescent="0.2">
      <c r="A5" s="108"/>
      <c r="B5" s="108"/>
      <c r="C5" s="108" t="s">
        <v>38</v>
      </c>
    </row>
    <row r="6" spans="1:19" s="106" customFormat="1" x14ac:dyDescent="0.2">
      <c r="A6" s="108"/>
      <c r="B6" s="108"/>
      <c r="C6" s="108" t="s">
        <v>113</v>
      </c>
    </row>
    <row r="7" spans="1:19" s="118" customFormat="1" ht="38.25" x14ac:dyDescent="0.25">
      <c r="A7" s="110" t="s">
        <v>5</v>
      </c>
      <c r="B7" s="110"/>
      <c r="C7" s="110" t="s">
        <v>110</v>
      </c>
      <c r="D7" s="110" t="s">
        <v>29</v>
      </c>
      <c r="E7" s="110" t="s">
        <v>31</v>
      </c>
      <c r="F7" s="110"/>
      <c r="G7" s="124"/>
      <c r="H7" s="121" t="s">
        <v>116</v>
      </c>
      <c r="I7" s="122" t="s">
        <v>117</v>
      </c>
      <c r="J7" s="121" t="s">
        <v>120</v>
      </c>
      <c r="K7" s="122" t="s">
        <v>121</v>
      </c>
      <c r="L7" s="121" t="s">
        <v>123</v>
      </c>
      <c r="M7" s="122" t="s">
        <v>125</v>
      </c>
      <c r="N7" s="121" t="s">
        <v>155</v>
      </c>
      <c r="O7" s="122" t="s">
        <v>154</v>
      </c>
    </row>
    <row r="8" spans="1:19" s="118" customFormat="1" x14ac:dyDescent="0.25">
      <c r="A8" s="127">
        <v>44242</v>
      </c>
      <c r="B8" s="110"/>
      <c r="C8" s="110"/>
      <c r="D8" s="110"/>
      <c r="E8" s="110"/>
      <c r="F8" s="110"/>
      <c r="G8" s="124"/>
      <c r="H8" s="123" t="s">
        <v>119</v>
      </c>
      <c r="I8" s="124">
        <v>5.63</v>
      </c>
      <c r="J8" s="123" t="s">
        <v>122</v>
      </c>
      <c r="K8" s="124">
        <v>5.3617999999999997</v>
      </c>
      <c r="L8" s="123" t="s">
        <v>124</v>
      </c>
      <c r="M8" s="124">
        <v>0.155635</v>
      </c>
      <c r="N8" s="123" t="s">
        <v>153</v>
      </c>
      <c r="O8" s="124">
        <f>1/6.436</f>
        <v>0.15537600994406464</v>
      </c>
    </row>
    <row r="9" spans="1:19" s="115" customFormat="1" ht="12" customHeight="1" x14ac:dyDescent="0.2">
      <c r="A9" s="111" t="s">
        <v>137</v>
      </c>
      <c r="B9" s="111" t="s">
        <v>51</v>
      </c>
      <c r="C9" s="112">
        <v>135482.32999999999</v>
      </c>
      <c r="D9" s="149">
        <v>29826.31</v>
      </c>
      <c r="E9" s="114">
        <v>7.0000000000000007E-2</v>
      </c>
      <c r="F9" s="112"/>
      <c r="G9" s="126"/>
      <c r="H9" s="125">
        <v>9483.76</v>
      </c>
      <c r="I9" s="126">
        <f>+H9/I$8</f>
        <v>1684.5044404973357</v>
      </c>
      <c r="J9" s="125">
        <v>10147.629999999999</v>
      </c>
      <c r="K9" s="126">
        <f>+J9/K$8</f>
        <v>1892.5789846693274</v>
      </c>
      <c r="L9" s="125">
        <v>10857.96</v>
      </c>
      <c r="M9" s="126">
        <f>+L9*M$8</f>
        <v>1689.8786045999998</v>
      </c>
      <c r="N9" s="125">
        <f>+C9*E9</f>
        <v>9483.7631000000001</v>
      </c>
      <c r="O9" s="126">
        <f>+N9*O$8</f>
        <v>1473.5492697327534</v>
      </c>
      <c r="P9" s="141" t="s">
        <v>165</v>
      </c>
      <c r="Q9" s="133">
        <f>+F9+H9+J9+L9+N9</f>
        <v>39973.113100000002</v>
      </c>
      <c r="R9" s="144">
        <f>+G9+I9+K9+M9+O9</f>
        <v>6740.5112994994161</v>
      </c>
      <c r="S9" s="111" t="s">
        <v>51</v>
      </c>
    </row>
    <row r="10" spans="1:19" s="115" customFormat="1" ht="12" customHeight="1" thickBot="1" x14ac:dyDescent="0.25">
      <c r="A10" s="111" t="s">
        <v>138</v>
      </c>
      <c r="B10" s="111" t="s">
        <v>55</v>
      </c>
      <c r="C10" s="112">
        <v>454237.67</v>
      </c>
      <c r="D10" s="149">
        <v>100000</v>
      </c>
      <c r="E10" s="114">
        <v>7.0000000000000007E-2</v>
      </c>
      <c r="F10" s="112"/>
      <c r="G10" s="126"/>
      <c r="H10" s="125">
        <v>31796.639999999999</v>
      </c>
      <c r="I10" s="126">
        <f t="shared" ref="I10" si="0">+H10/I$8</f>
        <v>5647.7158081705147</v>
      </c>
      <c r="J10" s="125">
        <v>34022.400000000001</v>
      </c>
      <c r="K10" s="126">
        <f t="shared" ref="K10" si="1">+J10/K$8</f>
        <v>6345.3317915625357</v>
      </c>
      <c r="L10" s="125">
        <v>36403.97</v>
      </c>
      <c r="M10" s="126">
        <f>+L10*M$8</f>
        <v>5665.7318709499996</v>
      </c>
      <c r="N10" s="125">
        <f>+C10*E10</f>
        <v>31796.636900000001</v>
      </c>
      <c r="O10" s="126">
        <f>+N10*O$8</f>
        <v>4940.4345711622127</v>
      </c>
      <c r="P10" s="141" t="s">
        <v>166</v>
      </c>
      <c r="Q10" s="133">
        <f>+F10+H10+J10+L10+N10</f>
        <v>134019.64690000002</v>
      </c>
      <c r="R10" s="145">
        <f t="shared" ref="R10" si="2">+G10+I10+K10+M10+O10</f>
        <v>22599.214041845262</v>
      </c>
      <c r="S10" s="111" t="s">
        <v>55</v>
      </c>
    </row>
    <row r="11" spans="1:19" s="115" customFormat="1" ht="12" customHeight="1" thickBot="1" x14ac:dyDescent="0.25">
      <c r="A11" s="111"/>
      <c r="B11" s="111"/>
      <c r="C11" s="128">
        <f>SUM(C9:C10)</f>
        <v>589720</v>
      </c>
      <c r="D11" s="130">
        <f>SUM(D9:D10)</f>
        <v>129826.31</v>
      </c>
      <c r="E11" s="114"/>
      <c r="F11" s="133"/>
      <c r="G11" s="134"/>
      <c r="H11" s="119">
        <f t="shared" ref="H11:M11" si="3">SUM(H9:H10)</f>
        <v>41280.400000000001</v>
      </c>
      <c r="I11" s="120">
        <f t="shared" si="3"/>
        <v>7332.2202486678507</v>
      </c>
      <c r="J11" s="119">
        <f t="shared" si="3"/>
        <v>44170.03</v>
      </c>
      <c r="K11" s="120">
        <f t="shared" si="3"/>
        <v>8237.9107762318636</v>
      </c>
      <c r="L11" s="119">
        <f t="shared" si="3"/>
        <v>47261.93</v>
      </c>
      <c r="M11" s="120">
        <f t="shared" si="3"/>
        <v>7355.6104755499991</v>
      </c>
      <c r="N11" s="119">
        <f t="shared" ref="N11:O11" si="4">SUM(N9:N10)</f>
        <v>41280.400000000001</v>
      </c>
      <c r="O11" s="120">
        <f t="shared" si="4"/>
        <v>6413.9838408949663</v>
      </c>
      <c r="Q11" s="142">
        <f>SUM(Q9:Q10)</f>
        <v>173992.76</v>
      </c>
      <c r="R11" s="143">
        <f>SUM(R9:R10)</f>
        <v>29339.725341344678</v>
      </c>
    </row>
    <row r="12" spans="1:19" s="115" customFormat="1" ht="12" customHeight="1" x14ac:dyDescent="0.2">
      <c r="A12" s="111"/>
      <c r="B12" s="111"/>
      <c r="C12" s="112"/>
      <c r="D12" s="113"/>
      <c r="E12" s="114"/>
      <c r="F12" s="116"/>
      <c r="G12" s="116"/>
      <c r="H12" s="116"/>
      <c r="I12" s="116"/>
      <c r="J12" s="116"/>
      <c r="K12" s="116"/>
      <c r="L12" s="116"/>
      <c r="M12" s="116"/>
      <c r="N12" s="116"/>
      <c r="O12" s="116"/>
    </row>
    <row r="14" spans="1:19" s="106" customFormat="1" x14ac:dyDescent="0.2">
      <c r="A14" s="108"/>
      <c r="B14" s="108"/>
      <c r="C14" s="108" t="s">
        <v>38</v>
      </c>
    </row>
    <row r="15" spans="1:19" s="106" customFormat="1" x14ac:dyDescent="0.2">
      <c r="A15" s="108"/>
      <c r="B15" s="108"/>
      <c r="C15" s="108" t="s">
        <v>126</v>
      </c>
    </row>
    <row r="16" spans="1:19" s="118" customFormat="1" ht="38.25" x14ac:dyDescent="0.25">
      <c r="A16" s="110" t="s">
        <v>5</v>
      </c>
      <c r="B16" s="110"/>
      <c r="C16" s="110" t="s">
        <v>110</v>
      </c>
      <c r="D16" s="110" t="s">
        <v>29</v>
      </c>
      <c r="E16" s="110" t="s">
        <v>31</v>
      </c>
      <c r="F16" s="121" t="s">
        <v>114</v>
      </c>
      <c r="G16" s="122" t="s">
        <v>115</v>
      </c>
      <c r="H16" s="121" t="s">
        <v>116</v>
      </c>
      <c r="I16" s="122" t="s">
        <v>117</v>
      </c>
      <c r="J16" s="121" t="s">
        <v>120</v>
      </c>
      <c r="K16" s="122" t="s">
        <v>121</v>
      </c>
      <c r="L16" s="121" t="s">
        <v>123</v>
      </c>
      <c r="M16" s="122" t="s">
        <v>125</v>
      </c>
      <c r="N16" s="121" t="s">
        <v>155</v>
      </c>
      <c r="O16" s="122" t="s">
        <v>154</v>
      </c>
    </row>
    <row r="17" spans="1:19" s="118" customFormat="1" x14ac:dyDescent="0.25">
      <c r="A17" s="127">
        <v>44490</v>
      </c>
      <c r="B17" s="110"/>
      <c r="C17" s="110"/>
      <c r="D17" s="110"/>
      <c r="E17" s="110"/>
      <c r="F17" s="123" t="s">
        <v>118</v>
      </c>
      <c r="G17" s="124">
        <v>6.3100961499999997</v>
      </c>
      <c r="H17" s="123" t="s">
        <v>119</v>
      </c>
      <c r="I17" s="124">
        <v>5.63</v>
      </c>
      <c r="J17" s="123" t="s">
        <v>122</v>
      </c>
      <c r="K17" s="124">
        <v>5.3617999999999997</v>
      </c>
      <c r="L17" s="123" t="s">
        <v>124</v>
      </c>
      <c r="M17" s="124">
        <v>0.155635</v>
      </c>
      <c r="N17" s="123" t="s">
        <v>153</v>
      </c>
      <c r="O17" s="124">
        <f>1/6.436</f>
        <v>0.15537600994406464</v>
      </c>
    </row>
    <row r="18" spans="1:19" s="115" customFormat="1" ht="12" customHeight="1" x14ac:dyDescent="0.2">
      <c r="A18" s="111"/>
      <c r="B18" s="111" t="s">
        <v>45</v>
      </c>
      <c r="C18" s="112">
        <v>0</v>
      </c>
      <c r="D18" s="149">
        <v>0</v>
      </c>
      <c r="E18" s="114">
        <v>7.0000000000000007E-2</v>
      </c>
      <c r="F18" s="125">
        <f t="shared" ref="F18:F28" si="5">+C18*E18*0.0444444444444444</f>
        <v>0</v>
      </c>
      <c r="G18" s="126">
        <f>+F18/G$17</f>
        <v>0</v>
      </c>
      <c r="H18" s="125">
        <v>0</v>
      </c>
      <c r="I18" s="126">
        <f>+H18/I$8</f>
        <v>0</v>
      </c>
      <c r="J18" s="125">
        <f t="shared" ref="J18:J28" si="6">+C18*E18</f>
        <v>0</v>
      </c>
      <c r="K18" s="126">
        <f>+J18/K$8</f>
        <v>0</v>
      </c>
      <c r="L18" s="125">
        <f t="shared" ref="L18:L28" si="7">+C18*E18</f>
        <v>0</v>
      </c>
      <c r="M18" s="126">
        <f>+L18*M$8</f>
        <v>0</v>
      </c>
      <c r="N18" s="125">
        <f>+$C18*$E18</f>
        <v>0</v>
      </c>
      <c r="O18" s="126">
        <f>+N18*O$8</f>
        <v>0</v>
      </c>
      <c r="P18" s="141" t="s">
        <v>158</v>
      </c>
      <c r="Q18" s="133">
        <f>+F18+H18+J18+L18+N18</f>
        <v>0</v>
      </c>
      <c r="R18" s="139">
        <f>+G18+I18+K18+M18+O18</f>
        <v>0</v>
      </c>
      <c r="S18" s="111" t="s">
        <v>45</v>
      </c>
    </row>
    <row r="19" spans="1:19" s="115" customFormat="1" ht="12" customHeight="1" x14ac:dyDescent="0.2">
      <c r="A19" s="111" t="s">
        <v>127</v>
      </c>
      <c r="B19" s="111" t="s">
        <v>46</v>
      </c>
      <c r="C19" s="112">
        <v>311059.90999999997</v>
      </c>
      <c r="D19" s="149">
        <v>48212.05</v>
      </c>
      <c r="E19" s="114">
        <v>7.0000000000000007E-2</v>
      </c>
      <c r="F19" s="125">
        <f t="shared" si="5"/>
        <v>967.74194222222116</v>
      </c>
      <c r="G19" s="126">
        <f t="shared" ref="G19:G28" si="8">+F19/G$17</f>
        <v>153.3640564608863</v>
      </c>
      <c r="H19" s="125">
        <v>21955.65</v>
      </c>
      <c r="I19" s="126">
        <f t="shared" ref="I19" si="9">+H19/I$8</f>
        <v>3899.7602131438725</v>
      </c>
      <c r="J19" s="125">
        <f t="shared" si="6"/>
        <v>21774.1937</v>
      </c>
      <c r="K19" s="126">
        <f>+J19/K$8</f>
        <v>4060.9858070051105</v>
      </c>
      <c r="L19" s="125">
        <f>+C19*E19</f>
        <v>21774.1937</v>
      </c>
      <c r="M19" s="126">
        <f t="shared" ref="M19:M28" si="10">+L19*M$8</f>
        <v>3388.8266364994997</v>
      </c>
      <c r="N19" s="125">
        <f t="shared" ref="N19:N28" si="11">+$C19*$E19</f>
        <v>21774.1937</v>
      </c>
      <c r="O19" s="126">
        <f t="shared" ref="O19:O28" si="12">+N19*O$8</f>
        <v>3383.1873368551896</v>
      </c>
      <c r="P19" s="141" t="s">
        <v>159</v>
      </c>
      <c r="Q19" s="133">
        <f>+F19+H19+J19+L19+N19</f>
        <v>88245.973042222235</v>
      </c>
      <c r="R19" s="139">
        <f t="shared" ref="R19:R28" si="13">+G19+I19+K19+M19+O19</f>
        <v>14886.124049964559</v>
      </c>
      <c r="S19" s="111" t="s">
        <v>46</v>
      </c>
    </row>
    <row r="20" spans="1:19" s="115" customFormat="1" ht="12" customHeight="1" x14ac:dyDescent="0.2">
      <c r="A20" s="111" t="s">
        <v>128</v>
      </c>
      <c r="B20" s="111" t="s">
        <v>111</v>
      </c>
      <c r="C20" s="112">
        <v>21774.19</v>
      </c>
      <c r="D20" s="149">
        <v>3374.84</v>
      </c>
      <c r="E20" s="114">
        <v>7.0000000000000007E-2</v>
      </c>
      <c r="F20" s="125">
        <f t="shared" si="5"/>
        <v>67.741924444444379</v>
      </c>
      <c r="G20" s="126">
        <f t="shared" si="8"/>
        <v>10.735482128025003</v>
      </c>
      <c r="H20" s="125">
        <v>1536.9</v>
      </c>
      <c r="I20" s="126">
        <f t="shared" ref="I20" si="14">+H20/I$8</f>
        <v>272.98401420959152</v>
      </c>
      <c r="J20" s="125">
        <f t="shared" si="6"/>
        <v>1524.1933000000001</v>
      </c>
      <c r="K20" s="126">
        <f t="shared" ref="K20" si="15">+J20/K$8</f>
        <v>284.26895818568397</v>
      </c>
      <c r="L20" s="125">
        <f t="shared" si="7"/>
        <v>1524.1933000000001</v>
      </c>
      <c r="M20" s="126">
        <f t="shared" si="10"/>
        <v>237.21782424550003</v>
      </c>
      <c r="N20" s="125">
        <f t="shared" si="11"/>
        <v>1524.1933000000001</v>
      </c>
      <c r="O20" s="126">
        <f t="shared" si="12"/>
        <v>236.82307333747673</v>
      </c>
      <c r="P20" s="141" t="s">
        <v>160</v>
      </c>
      <c r="Q20" s="133">
        <f t="shared" ref="Q20:Q28" si="16">+F20+H20+J20+L20+N20</f>
        <v>6177.2218244444448</v>
      </c>
      <c r="R20" s="139">
        <f>+G20+I20+K20+M20+O20</f>
        <v>1042.0293521062772</v>
      </c>
      <c r="S20" s="111" t="s">
        <v>111</v>
      </c>
    </row>
    <row r="21" spans="1:19" s="115" customFormat="1" ht="12" customHeight="1" x14ac:dyDescent="0.2">
      <c r="A21" s="111" t="s">
        <v>129</v>
      </c>
      <c r="B21" s="111" t="s">
        <v>48</v>
      </c>
      <c r="C21" s="112">
        <v>248847.93</v>
      </c>
      <c r="D21" s="149">
        <v>38569.64</v>
      </c>
      <c r="E21" s="114">
        <v>7.0000000000000007E-2</v>
      </c>
      <c r="F21" s="125">
        <f t="shared" si="5"/>
        <v>774.19355999999925</v>
      </c>
      <c r="G21" s="126">
        <f t="shared" si="8"/>
        <v>122.69124615478313</v>
      </c>
      <c r="H21" s="125">
        <v>17564.52</v>
      </c>
      <c r="I21" s="126">
        <f t="shared" ref="I21" si="17">+H21/I$8</f>
        <v>3119.808170515098</v>
      </c>
      <c r="J21" s="125">
        <f t="shared" si="6"/>
        <v>17419.355100000001</v>
      </c>
      <c r="K21" s="126">
        <f t="shared" ref="K21" si="18">+J21/K$8</f>
        <v>3248.788671714723</v>
      </c>
      <c r="L21" s="125">
        <f t="shared" si="7"/>
        <v>17419.355100000001</v>
      </c>
      <c r="M21" s="126">
        <f t="shared" si="10"/>
        <v>2711.0613309885002</v>
      </c>
      <c r="N21" s="125">
        <f t="shared" si="11"/>
        <v>17419.355100000001</v>
      </c>
      <c r="O21" s="126">
        <f t="shared" si="12"/>
        <v>2706.5498912367934</v>
      </c>
      <c r="P21" s="141" t="s">
        <v>161</v>
      </c>
      <c r="Q21" s="133">
        <f t="shared" si="16"/>
        <v>70596.778860000006</v>
      </c>
      <c r="R21" s="139">
        <f t="shared" si="13"/>
        <v>11908.899310609899</v>
      </c>
      <c r="S21" s="111" t="s">
        <v>48</v>
      </c>
    </row>
    <row r="22" spans="1:19" s="115" customFormat="1" ht="12" customHeight="1" x14ac:dyDescent="0.2">
      <c r="A22" s="111" t="s">
        <v>130</v>
      </c>
      <c r="B22" s="111" t="s">
        <v>49</v>
      </c>
      <c r="C22" s="112">
        <v>186635.94</v>
      </c>
      <c r="D22" s="149">
        <v>28927.23</v>
      </c>
      <c r="E22" s="114">
        <v>7.0000000000000007E-2</v>
      </c>
      <c r="F22" s="125">
        <f t="shared" si="5"/>
        <v>580.64514666666605</v>
      </c>
      <c r="G22" s="126">
        <f t="shared" si="8"/>
        <v>92.018430918309548</v>
      </c>
      <c r="H22" s="125">
        <v>13173.39</v>
      </c>
      <c r="I22" s="126">
        <f t="shared" ref="I22" si="19">+H22/I$8</f>
        <v>2339.8561278863231</v>
      </c>
      <c r="J22" s="125">
        <f t="shared" si="6"/>
        <v>13064.515800000001</v>
      </c>
      <c r="K22" s="126">
        <f t="shared" ref="K22" si="20">+J22/K$8</f>
        <v>2436.5914058711628</v>
      </c>
      <c r="L22" s="125">
        <f t="shared" si="7"/>
        <v>13064.515800000001</v>
      </c>
      <c r="M22" s="126">
        <f t="shared" si="10"/>
        <v>2033.2959165330001</v>
      </c>
      <c r="N22" s="125">
        <f t="shared" si="11"/>
        <v>13064.515800000001</v>
      </c>
      <c r="O22" s="126">
        <f t="shared" si="12"/>
        <v>2029.9123368551898</v>
      </c>
      <c r="P22" s="141" t="s">
        <v>162</v>
      </c>
      <c r="Q22" s="133">
        <f t="shared" si="16"/>
        <v>52947.582546666665</v>
      </c>
      <c r="R22" s="139">
        <f t="shared" si="13"/>
        <v>8931.6742180639849</v>
      </c>
      <c r="S22" s="111" t="s">
        <v>49</v>
      </c>
    </row>
    <row r="23" spans="1:19" s="115" customFormat="1" ht="12" customHeight="1" x14ac:dyDescent="0.2">
      <c r="A23" s="111" t="s">
        <v>131</v>
      </c>
      <c r="B23" s="111" t="s">
        <v>50</v>
      </c>
      <c r="C23" s="112">
        <v>71543.78</v>
      </c>
      <c r="D23" s="149">
        <v>11088.77</v>
      </c>
      <c r="E23" s="114">
        <v>7.0000000000000007E-2</v>
      </c>
      <c r="F23" s="125">
        <f t="shared" si="5"/>
        <v>222.58064888888867</v>
      </c>
      <c r="G23" s="126">
        <f t="shared" si="8"/>
        <v>35.273733331129776</v>
      </c>
      <c r="H23" s="125">
        <v>5049.8</v>
      </c>
      <c r="I23" s="126">
        <f t="shared" ref="I23" si="21">+H23/I$8</f>
        <v>896.94493783303733</v>
      </c>
      <c r="J23" s="125">
        <f t="shared" si="6"/>
        <v>5008.0646000000006</v>
      </c>
      <c r="K23" s="126">
        <f t="shared" ref="K23" si="22">+J23/K$8</f>
        <v>934.0267447498976</v>
      </c>
      <c r="L23" s="125">
        <f t="shared" si="7"/>
        <v>5008.0646000000006</v>
      </c>
      <c r="M23" s="126">
        <f t="shared" si="10"/>
        <v>779.43013402100007</v>
      </c>
      <c r="N23" s="125">
        <f t="shared" si="11"/>
        <v>5008.0646000000006</v>
      </c>
      <c r="O23" s="126">
        <f t="shared" si="12"/>
        <v>778.13309509011822</v>
      </c>
      <c r="P23" s="141" t="s">
        <v>163</v>
      </c>
      <c r="Q23" s="133">
        <f t="shared" si="16"/>
        <v>20296.574448888892</v>
      </c>
      <c r="R23" s="139">
        <f t="shared" si="13"/>
        <v>3423.8086450251831</v>
      </c>
      <c r="S23" s="111" t="s">
        <v>50</v>
      </c>
    </row>
    <row r="24" spans="1:19" s="115" customFormat="1" ht="12" customHeight="1" x14ac:dyDescent="0.2">
      <c r="A24" s="111" t="s">
        <v>132</v>
      </c>
      <c r="B24" s="111" t="s">
        <v>52</v>
      </c>
      <c r="C24" s="112">
        <v>423041.47</v>
      </c>
      <c r="D24" s="149">
        <v>65568.38</v>
      </c>
      <c r="E24" s="114">
        <v>7.0000000000000007E-2</v>
      </c>
      <c r="F24" s="125">
        <f t="shared" si="5"/>
        <v>1316.1290177777764</v>
      </c>
      <c r="G24" s="126">
        <f t="shared" si="8"/>
        <v>208.57511303972387</v>
      </c>
      <c r="H24" s="125">
        <v>29859.68</v>
      </c>
      <c r="I24" s="126">
        <f t="shared" ref="I24" si="23">+H24/I$8</f>
        <v>5303.6731793960926</v>
      </c>
      <c r="J24" s="125">
        <f t="shared" si="6"/>
        <v>29612.902900000001</v>
      </c>
      <c r="K24" s="126">
        <f t="shared" ref="K24" si="24">+J24/K$8</f>
        <v>5522.940598306539</v>
      </c>
      <c r="L24" s="125">
        <f t="shared" si="7"/>
        <v>29612.902900000001</v>
      </c>
      <c r="M24" s="126">
        <f t="shared" si="10"/>
        <v>4608.8041428414999</v>
      </c>
      <c r="N24" s="125">
        <f t="shared" si="11"/>
        <v>29612.902900000001</v>
      </c>
      <c r="O24" s="126">
        <f t="shared" si="12"/>
        <v>4601.1346954630208</v>
      </c>
      <c r="P24" s="141" t="s">
        <v>164</v>
      </c>
      <c r="Q24" s="133">
        <f t="shared" si="16"/>
        <v>120014.51771777778</v>
      </c>
      <c r="R24" s="139">
        <f t="shared" si="13"/>
        <v>20245.127729046879</v>
      </c>
      <c r="S24" s="111" t="s">
        <v>52</v>
      </c>
    </row>
    <row r="25" spans="1:19" s="115" customFormat="1" ht="12" customHeight="1" x14ac:dyDescent="0.2">
      <c r="A25" s="111" t="s">
        <v>133</v>
      </c>
      <c r="B25" s="111" t="s">
        <v>51</v>
      </c>
      <c r="C25" s="112">
        <v>171082.95</v>
      </c>
      <c r="D25" s="149">
        <v>26516.63</v>
      </c>
      <c r="E25" s="114">
        <v>7.0000000000000007E-2</v>
      </c>
      <c r="F25" s="125">
        <f t="shared" si="5"/>
        <v>532.2580666666662</v>
      </c>
      <c r="G25" s="126">
        <f t="shared" si="8"/>
        <v>84.350230806968966</v>
      </c>
      <c r="H25" s="125">
        <v>12075.6</v>
      </c>
      <c r="I25" s="126">
        <f t="shared" ref="I25" si="25">+H25/I$8</f>
        <v>2144.8667850799288</v>
      </c>
      <c r="J25" s="125">
        <f t="shared" si="6"/>
        <v>11975.806500000002</v>
      </c>
      <c r="K25" s="126">
        <f t="shared" ref="K25" si="26">+J25/K$8</f>
        <v>2233.5421873251526</v>
      </c>
      <c r="L25" s="125">
        <f t="shared" si="7"/>
        <v>11975.806500000002</v>
      </c>
      <c r="M25" s="126">
        <f t="shared" si="10"/>
        <v>1863.8546446275004</v>
      </c>
      <c r="N25" s="125">
        <f t="shared" si="11"/>
        <v>11975.806500000002</v>
      </c>
      <c r="O25" s="126">
        <f t="shared" si="12"/>
        <v>1860.7530298321944</v>
      </c>
      <c r="P25" s="141" t="s">
        <v>165</v>
      </c>
      <c r="Q25" s="133">
        <f t="shared" si="16"/>
        <v>48535.277566666671</v>
      </c>
      <c r="R25" s="144">
        <f t="shared" si="13"/>
        <v>8187.366877671745</v>
      </c>
      <c r="S25" s="111" t="s">
        <v>51</v>
      </c>
    </row>
    <row r="26" spans="1:19" s="115" customFormat="1" ht="12" customHeight="1" x14ac:dyDescent="0.2">
      <c r="A26" s="111" t="s">
        <v>134</v>
      </c>
      <c r="B26" s="111" t="s">
        <v>55</v>
      </c>
      <c r="C26" s="112">
        <v>457258.06</v>
      </c>
      <c r="D26" s="149">
        <v>70871.710000000006</v>
      </c>
      <c r="E26" s="114">
        <v>7.0000000000000007E-2</v>
      </c>
      <c r="F26" s="125">
        <f t="shared" si="5"/>
        <v>1422.5806311111098</v>
      </c>
      <c r="G26" s="126">
        <f t="shared" si="8"/>
        <v>225.44515920111769</v>
      </c>
      <c r="H26" s="125">
        <v>32274.799999999999</v>
      </c>
      <c r="I26" s="126">
        <f t="shared" ref="I26" si="27">+H26/I$8</f>
        <v>5732.6465364120777</v>
      </c>
      <c r="J26" s="125">
        <f t="shared" si="6"/>
        <v>32008.064200000004</v>
      </c>
      <c r="K26" s="126">
        <f t="shared" ref="K26" si="28">+J26/K$8</f>
        <v>5969.6490357715702</v>
      </c>
      <c r="L26" s="125">
        <f t="shared" si="7"/>
        <v>32008.064200000004</v>
      </c>
      <c r="M26" s="126">
        <f t="shared" si="10"/>
        <v>4981.5750717670007</v>
      </c>
      <c r="N26" s="125">
        <f t="shared" si="11"/>
        <v>32008.064200000004</v>
      </c>
      <c r="O26" s="126">
        <f t="shared" si="12"/>
        <v>4973.2853014294606</v>
      </c>
      <c r="P26" s="141" t="s">
        <v>166</v>
      </c>
      <c r="Q26" s="133">
        <f t="shared" si="16"/>
        <v>129721.57323111114</v>
      </c>
      <c r="R26" s="145">
        <f t="shared" si="13"/>
        <v>21882.601104581227</v>
      </c>
      <c r="S26" s="111" t="s">
        <v>55</v>
      </c>
    </row>
    <row r="27" spans="1:19" s="115" customFormat="1" ht="12" customHeight="1" x14ac:dyDescent="0.2">
      <c r="A27" s="111" t="s">
        <v>135</v>
      </c>
      <c r="B27" s="111" t="s">
        <v>54</v>
      </c>
      <c r="C27" s="112">
        <v>186635.94</v>
      </c>
      <c r="D27" s="149">
        <v>28927.23</v>
      </c>
      <c r="E27" s="114">
        <v>7.0000000000000007E-2</v>
      </c>
      <c r="F27" s="125">
        <f t="shared" si="5"/>
        <v>580.64514666666605</v>
      </c>
      <c r="G27" s="126">
        <f t="shared" si="8"/>
        <v>92.018430918309548</v>
      </c>
      <c r="H27" s="125">
        <v>13173.39</v>
      </c>
      <c r="I27" s="126">
        <f t="shared" ref="I27" si="29">+H27/I$8</f>
        <v>2339.8561278863231</v>
      </c>
      <c r="J27" s="125">
        <f t="shared" si="6"/>
        <v>13064.515800000001</v>
      </c>
      <c r="K27" s="126">
        <f t="shared" ref="K27" si="30">+J27/K$8</f>
        <v>2436.5914058711628</v>
      </c>
      <c r="L27" s="125">
        <f t="shared" si="7"/>
        <v>13064.515800000001</v>
      </c>
      <c r="M27" s="126">
        <f t="shared" si="10"/>
        <v>2033.2959165330001</v>
      </c>
      <c r="N27" s="125">
        <f t="shared" si="11"/>
        <v>13064.515800000001</v>
      </c>
      <c r="O27" s="126">
        <f t="shared" si="12"/>
        <v>2029.9123368551898</v>
      </c>
      <c r="P27" s="141" t="s">
        <v>167</v>
      </c>
      <c r="Q27" s="133">
        <f t="shared" si="16"/>
        <v>52947.582546666665</v>
      </c>
      <c r="R27" s="139">
        <f t="shared" si="13"/>
        <v>8931.6742180639849</v>
      </c>
      <c r="S27" s="111" t="s">
        <v>54</v>
      </c>
    </row>
    <row r="28" spans="1:19" s="115" customFormat="1" ht="12" customHeight="1" thickBot="1" x14ac:dyDescent="0.25">
      <c r="A28" s="111" t="s">
        <v>136</v>
      </c>
      <c r="B28" s="111" t="s">
        <v>112</v>
      </c>
      <c r="C28" s="112">
        <v>622119.81999999995</v>
      </c>
      <c r="D28" s="149">
        <v>96424.09</v>
      </c>
      <c r="E28" s="114">
        <v>7.0000000000000007E-2</v>
      </c>
      <c r="F28" s="125">
        <f t="shared" si="5"/>
        <v>1935.4838844444423</v>
      </c>
      <c r="G28" s="126">
        <f t="shared" si="8"/>
        <v>306.72811292177261</v>
      </c>
      <c r="H28" s="125">
        <v>43911.29</v>
      </c>
      <c r="I28" s="126">
        <f t="shared" ref="I28" si="31">+H28/I$8</f>
        <v>7799.5186500888103</v>
      </c>
      <c r="J28" s="125">
        <f t="shared" si="6"/>
        <v>43548.3874</v>
      </c>
      <c r="K28" s="126">
        <f t="shared" ref="K28" si="32">+J28/K$8</f>
        <v>8121.9716140102209</v>
      </c>
      <c r="L28" s="125">
        <f t="shared" si="7"/>
        <v>43548.3874</v>
      </c>
      <c r="M28" s="126">
        <f t="shared" si="10"/>
        <v>6777.6532729989995</v>
      </c>
      <c r="N28" s="125">
        <f t="shared" si="11"/>
        <v>43548.3874</v>
      </c>
      <c r="O28" s="126">
        <f t="shared" si="12"/>
        <v>6766.3746737103793</v>
      </c>
      <c r="P28" s="141" t="s">
        <v>168</v>
      </c>
      <c r="Q28" s="133">
        <f t="shared" si="16"/>
        <v>176491.93608444446</v>
      </c>
      <c r="R28" s="139">
        <f t="shared" si="13"/>
        <v>29772.246323730182</v>
      </c>
      <c r="S28" s="111" t="s">
        <v>112</v>
      </c>
    </row>
    <row r="29" spans="1:19" s="115" customFormat="1" ht="12" customHeight="1" thickBot="1" x14ac:dyDescent="0.25">
      <c r="A29" s="111"/>
      <c r="B29" s="111"/>
      <c r="C29" s="128">
        <f>SUM(C18:C28)+0.01</f>
        <v>2699999.9999999995</v>
      </c>
      <c r="D29" s="150">
        <f>SUM(D18:D28)</f>
        <v>418480.56999999995</v>
      </c>
      <c r="E29" s="114"/>
      <c r="F29" s="119">
        <f>SUM(F19:F28)</f>
        <v>8399.9999688888802</v>
      </c>
      <c r="G29" s="120">
        <f>SUM(G18:G28)</f>
        <v>1331.1999958810266</v>
      </c>
      <c r="H29" s="119">
        <f>SUM(H19:H28)-0.02</f>
        <v>190575</v>
      </c>
      <c r="I29" s="120">
        <f>SUM(I18:I28)</f>
        <v>33849.914742451154</v>
      </c>
      <c r="J29" s="119">
        <f>SUM(J19:J28)</f>
        <v>188999.9993</v>
      </c>
      <c r="K29" s="120">
        <f>SUM(K18:K28)</f>
        <v>35249.356428811225</v>
      </c>
      <c r="L29" s="119">
        <f>SUM(L19:L28)</f>
        <v>188999.9993</v>
      </c>
      <c r="M29" s="120">
        <f>SUM(M18:M28)</f>
        <v>29415.0148910555</v>
      </c>
      <c r="N29" s="119">
        <f>SUM(N19:N28)</f>
        <v>188999.9993</v>
      </c>
      <c r="O29" s="120">
        <f>SUM(O18:O28)</f>
        <v>29366.065770665009</v>
      </c>
      <c r="P29" s="140"/>
      <c r="Q29" s="142">
        <f>SUM(Q18:Q28)</f>
        <v>765975.0178688888</v>
      </c>
      <c r="R29" s="143">
        <f>SUM(R18:R28)</f>
        <v>129211.55182886393</v>
      </c>
    </row>
    <row r="30" spans="1:19" s="115" customFormat="1" ht="12" customHeight="1" x14ac:dyDescent="0.2">
      <c r="A30" s="111"/>
      <c r="B30" s="111"/>
      <c r="C30" s="112"/>
      <c r="D30" s="113"/>
      <c r="E30" s="114"/>
      <c r="F30" s="116"/>
      <c r="G30" s="116"/>
      <c r="H30" s="116"/>
      <c r="I30" s="116"/>
      <c r="J30" s="116"/>
      <c r="K30" s="116"/>
      <c r="L30" s="116"/>
      <c r="M30" s="116"/>
      <c r="N30" s="116"/>
      <c r="O30" s="116"/>
    </row>
    <row r="32" spans="1:19" x14ac:dyDescent="0.2">
      <c r="B32" s="132" t="s">
        <v>139</v>
      </c>
      <c r="C32" s="112">
        <f>+C11+C29</f>
        <v>3289719.9999999995</v>
      </c>
      <c r="D32" s="149">
        <f>+D11+D29</f>
        <v>548306.87999999989</v>
      </c>
      <c r="F32" s="112">
        <f t="shared" ref="F32:O32" si="33">+F11+F29</f>
        <v>8399.9999688888802</v>
      </c>
      <c r="G32" s="131">
        <f t="shared" si="33"/>
        <v>1331.1999958810266</v>
      </c>
      <c r="H32" s="112">
        <f t="shared" si="33"/>
        <v>231855.4</v>
      </c>
      <c r="I32" s="131">
        <f t="shared" si="33"/>
        <v>41182.134991119005</v>
      </c>
      <c r="J32" s="112">
        <f t="shared" si="33"/>
        <v>233170.02929999999</v>
      </c>
      <c r="K32" s="131">
        <f t="shared" si="33"/>
        <v>43487.267205043085</v>
      </c>
      <c r="L32" s="112">
        <f t="shared" si="33"/>
        <v>236261.92929999999</v>
      </c>
      <c r="M32" s="131">
        <f t="shared" si="33"/>
        <v>36770.625366605498</v>
      </c>
      <c r="N32" s="112">
        <f t="shared" si="33"/>
        <v>230280.39929999999</v>
      </c>
      <c r="O32" s="131">
        <f t="shared" si="33"/>
        <v>35780.049611559974</v>
      </c>
      <c r="Q32" s="112">
        <f>+Q11+Q29</f>
        <v>939967.77786888881</v>
      </c>
      <c r="R32" s="131">
        <f>+R11+R29</f>
        <v>158551.2771702086</v>
      </c>
    </row>
    <row r="35" spans="2:5" x14ac:dyDescent="0.2">
      <c r="B35" s="132" t="s">
        <v>141</v>
      </c>
      <c r="C35" s="112">
        <f>+F32+H32+J32+L32+N32</f>
        <v>939967.75786888879</v>
      </c>
      <c r="D35" s="139">
        <f>+G32+I32+K32+M32+O32</f>
        <v>158551.2771702086</v>
      </c>
    </row>
    <row r="36" spans="2:5" x14ac:dyDescent="0.2">
      <c r="B36" s="116" t="s">
        <v>140</v>
      </c>
    </row>
    <row r="42" spans="2:5" x14ac:dyDescent="0.2">
      <c r="B42" s="108" t="s">
        <v>27</v>
      </c>
      <c r="C42" s="108" t="s">
        <v>28</v>
      </c>
      <c r="D42" s="106"/>
      <c r="E42" s="106"/>
    </row>
    <row r="43" spans="2:5" ht="38.25" x14ac:dyDescent="0.2">
      <c r="B43" s="109" t="s">
        <v>5</v>
      </c>
      <c r="C43" s="110" t="s">
        <v>29</v>
      </c>
      <c r="D43" s="110" t="s">
        <v>30</v>
      </c>
      <c r="E43" s="110" t="s">
        <v>31</v>
      </c>
    </row>
    <row r="44" spans="2:5" x14ac:dyDescent="0.2">
      <c r="B44" s="115"/>
      <c r="C44" s="113">
        <v>30000</v>
      </c>
      <c r="D44" s="113">
        <f>+C44</f>
        <v>30000</v>
      </c>
      <c r="E44" s="114">
        <v>0</v>
      </c>
    </row>
    <row r="45" spans="2:5" x14ac:dyDescent="0.2">
      <c r="B45" s="111">
        <v>44242</v>
      </c>
      <c r="C45" s="113">
        <v>100000</v>
      </c>
      <c r="D45" s="113">
        <f t="shared" ref="D45:D51" si="34">+D44+C45</f>
        <v>130000</v>
      </c>
      <c r="E45" s="115"/>
    </row>
    <row r="46" spans="2:5" x14ac:dyDescent="0.2">
      <c r="B46" s="111">
        <v>44242</v>
      </c>
      <c r="C46" s="113">
        <v>-100000</v>
      </c>
      <c r="D46" s="113">
        <f t="shared" si="34"/>
        <v>30000</v>
      </c>
      <c r="E46" s="115"/>
    </row>
    <row r="47" spans="2:5" x14ac:dyDescent="0.2">
      <c r="B47" s="111">
        <v>44242</v>
      </c>
      <c r="C47" s="113">
        <v>29826.31</v>
      </c>
      <c r="D47" s="113">
        <f t="shared" si="34"/>
        <v>59826.31</v>
      </c>
      <c r="E47" s="115"/>
    </row>
    <row r="48" spans="2:5" x14ac:dyDescent="0.2">
      <c r="B48" s="111">
        <v>44242</v>
      </c>
      <c r="C48" s="113">
        <v>-29826.31</v>
      </c>
      <c r="D48" s="113">
        <f t="shared" si="34"/>
        <v>29999.999999999996</v>
      </c>
      <c r="E48" s="115"/>
    </row>
    <row r="49" spans="2:5" x14ac:dyDescent="0.2">
      <c r="B49" s="111">
        <v>46022</v>
      </c>
      <c r="C49" s="113"/>
      <c r="D49" s="113">
        <f t="shared" si="34"/>
        <v>29999.999999999996</v>
      </c>
      <c r="E49" s="115"/>
    </row>
    <row r="50" spans="2:5" x14ac:dyDescent="0.2">
      <c r="B50" s="111"/>
      <c r="C50" s="113"/>
      <c r="D50" s="113">
        <f t="shared" si="34"/>
        <v>29999.999999999996</v>
      </c>
      <c r="E50" s="115"/>
    </row>
    <row r="51" spans="2:5" x14ac:dyDescent="0.2">
      <c r="B51" s="111"/>
      <c r="C51" s="113"/>
      <c r="D51" s="113">
        <f t="shared" si="34"/>
        <v>29999.999999999996</v>
      </c>
      <c r="E51" s="115"/>
    </row>
    <row r="52" spans="2:5" x14ac:dyDescent="0.2">
      <c r="B52" s="109" t="s">
        <v>8</v>
      </c>
      <c r="C52" s="110"/>
      <c r="D52" s="110"/>
      <c r="E52" s="117"/>
    </row>
    <row r="53" spans="2:5" ht="15" x14ac:dyDescent="0.25">
      <c r="B53" s="3"/>
      <c r="C53" s="3"/>
      <c r="D53" s="3"/>
      <c r="E53" s="3"/>
    </row>
  </sheetData>
  <phoneticPr fontId="3" type="noConversion"/>
  <pageMargins left="3.937007874015748E-2" right="3.937007874015748E-2" top="0.55118110236220474" bottom="0.55118110236220474" header="0.31496062992125984" footer="0.31496062992125984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99"/>
  <sheetViews>
    <sheetView showGridLines="0" topLeftCell="A58" zoomScale="115" zoomScaleNormal="115" workbookViewId="0">
      <selection activeCell="K74" sqref="K74"/>
    </sheetView>
  </sheetViews>
  <sheetFormatPr defaultColWidth="9.140625" defaultRowHeight="15" x14ac:dyDescent="0.25"/>
  <cols>
    <col min="1" max="1" width="12.140625" style="4" bestFit="1" customWidth="1"/>
    <col min="2" max="2" width="19.5703125" style="4" customWidth="1"/>
    <col min="3" max="3" width="15.5703125" style="4" customWidth="1"/>
    <col min="4" max="4" width="15.42578125" style="4" bestFit="1" customWidth="1"/>
    <col min="5" max="5" width="16.5703125" style="4" bestFit="1" customWidth="1"/>
    <col min="6" max="6" width="12.85546875" style="4" customWidth="1"/>
    <col min="7" max="7" width="19.5703125" style="4" customWidth="1"/>
    <col min="8" max="8" width="17.5703125" style="4" customWidth="1"/>
    <col min="9" max="9" width="16.5703125" style="4" bestFit="1" customWidth="1"/>
    <col min="10" max="10" width="14.5703125" style="4" bestFit="1" customWidth="1"/>
    <col min="11" max="11" width="14.85546875" style="4" customWidth="1"/>
    <col min="12" max="13" width="12.42578125" style="4" customWidth="1"/>
    <col min="14" max="42" width="12" style="4" bestFit="1" customWidth="1"/>
    <col min="43" max="44" width="11.28515625" style="4" customWidth="1"/>
    <col min="45" max="45" width="10.140625" style="4" bestFit="1" customWidth="1"/>
    <col min="46" max="252" width="11.42578125" style="4" customWidth="1"/>
    <col min="253" max="16384" width="9.140625" style="4"/>
  </cols>
  <sheetData>
    <row r="1" spans="1:11" s="1" customFormat="1" ht="28.5" customHeight="1" x14ac:dyDescent="0.25">
      <c r="A1" s="18" t="s">
        <v>9</v>
      </c>
      <c r="F1" s="9" t="s">
        <v>0</v>
      </c>
      <c r="G1" s="19">
        <v>46022</v>
      </c>
      <c r="I1" s="19"/>
      <c r="J1" s="19"/>
      <c r="K1" s="19"/>
    </row>
    <row r="2" spans="1:11" s="1" customFormat="1" x14ac:dyDescent="0.25">
      <c r="A2" s="9" t="s">
        <v>32</v>
      </c>
    </row>
    <row r="3" spans="1:11" s="1" customFormat="1" x14ac:dyDescent="0.25">
      <c r="A3" s="2"/>
    </row>
    <row r="4" spans="1:11" s="1" customFormat="1" x14ac:dyDescent="0.25">
      <c r="A4" s="2"/>
    </row>
    <row r="5" spans="1:11" s="1" customFormat="1" x14ac:dyDescent="0.25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s="41" customFormat="1" x14ac:dyDescent="0.25">
      <c r="A6" s="153" t="s">
        <v>5</v>
      </c>
      <c r="B6" s="153" t="s">
        <v>18</v>
      </c>
      <c r="C6" s="153" t="s">
        <v>33</v>
      </c>
      <c r="D6" s="153" t="s">
        <v>34</v>
      </c>
      <c r="E6" s="152"/>
      <c r="F6" s="153" t="s">
        <v>5</v>
      </c>
      <c r="G6" s="153" t="s">
        <v>57</v>
      </c>
      <c r="H6" s="153"/>
      <c r="I6" s="153"/>
      <c r="J6" s="153"/>
      <c r="K6" s="153"/>
    </row>
    <row r="7" spans="1:11" s="3" customFormat="1" ht="12" customHeight="1" x14ac:dyDescent="0.25">
      <c r="A7" s="154" t="s">
        <v>35</v>
      </c>
      <c r="B7" s="154"/>
      <c r="C7" s="154"/>
      <c r="D7" s="154"/>
      <c r="E7" s="152"/>
      <c r="F7" s="154" t="s">
        <v>56</v>
      </c>
      <c r="G7" s="154"/>
      <c r="H7" s="154"/>
      <c r="I7" s="154"/>
      <c r="J7" s="154"/>
      <c r="K7" s="154"/>
    </row>
    <row r="8" spans="1:11" s="3" customFormat="1" ht="12" customHeight="1" x14ac:dyDescent="0.25">
      <c r="A8" s="155">
        <v>40113</v>
      </c>
      <c r="B8" s="156">
        <v>2125000</v>
      </c>
      <c r="C8" s="157">
        <v>2</v>
      </c>
      <c r="D8" s="158">
        <f>+B8*C8</f>
        <v>4250000</v>
      </c>
      <c r="E8" s="152"/>
      <c r="F8" s="155">
        <v>44545</v>
      </c>
      <c r="G8" s="157">
        <v>1124951.26</v>
      </c>
      <c r="H8" s="154"/>
      <c r="I8" s="154"/>
      <c r="J8" s="154"/>
      <c r="K8" s="154"/>
    </row>
    <row r="9" spans="1:11" s="3" customFormat="1" ht="12" customHeight="1" x14ac:dyDescent="0.25">
      <c r="A9" s="154"/>
      <c r="B9" s="154"/>
      <c r="C9" s="154"/>
      <c r="D9" s="159"/>
      <c r="E9" s="152"/>
      <c r="F9" s="154"/>
      <c r="G9" s="154"/>
      <c r="H9" s="154"/>
      <c r="I9" s="154"/>
      <c r="J9" s="154"/>
      <c r="K9" s="154"/>
    </row>
    <row r="10" spans="1:11" s="3" customFormat="1" ht="12" customHeight="1" x14ac:dyDescent="0.25">
      <c r="A10" s="154"/>
      <c r="B10" s="154"/>
      <c r="C10" s="154"/>
      <c r="D10" s="154"/>
      <c r="E10" s="152"/>
      <c r="F10" s="154"/>
      <c r="G10" s="154"/>
      <c r="H10" s="154"/>
      <c r="I10" s="154"/>
      <c r="J10" s="154"/>
      <c r="K10" s="154"/>
    </row>
    <row r="11" spans="1:11" s="3" customFormat="1" ht="12" customHeight="1" x14ac:dyDescent="0.25">
      <c r="A11" s="153" t="s">
        <v>8</v>
      </c>
      <c r="B11" s="153"/>
      <c r="C11" s="153"/>
      <c r="D11" s="160">
        <f>+D8</f>
        <v>4250000</v>
      </c>
      <c r="E11" s="152"/>
      <c r="F11" s="153" t="s">
        <v>8</v>
      </c>
      <c r="G11" s="160">
        <f>+G8</f>
        <v>1124951.26</v>
      </c>
      <c r="H11" s="154"/>
      <c r="I11" s="154"/>
      <c r="J11" s="154"/>
      <c r="K11" s="154"/>
    </row>
    <row r="12" spans="1:11" s="3" customFormat="1" ht="12" customHeight="1" x14ac:dyDescent="0.25">
      <c r="A12" s="154"/>
      <c r="B12" s="154"/>
      <c r="C12" s="154"/>
      <c r="D12" s="154"/>
      <c r="E12" s="152"/>
      <c r="F12" s="152"/>
      <c r="G12" s="152"/>
      <c r="H12" s="154"/>
      <c r="I12" s="154"/>
      <c r="J12" s="154"/>
      <c r="K12" s="154"/>
    </row>
    <row r="13" spans="1:11" s="3" customFormat="1" ht="12" customHeight="1" x14ac:dyDescent="0.25">
      <c r="A13" s="154"/>
      <c r="B13" s="154"/>
      <c r="C13" s="154"/>
      <c r="D13" s="154"/>
      <c r="E13" s="152"/>
      <c r="F13" s="152"/>
      <c r="G13" s="152"/>
      <c r="H13" s="154"/>
      <c r="I13" s="154"/>
      <c r="J13" s="154"/>
      <c r="K13" s="154"/>
    </row>
    <row r="14" spans="1:11" s="3" customFormat="1" ht="12" customHeight="1" x14ac:dyDescent="0.25">
      <c r="A14" s="154"/>
      <c r="B14" s="154"/>
      <c r="C14" s="154"/>
      <c r="D14" s="154"/>
      <c r="E14" s="152"/>
      <c r="F14" s="152"/>
      <c r="G14" s="152"/>
      <c r="H14" s="154"/>
      <c r="I14" s="154"/>
      <c r="J14" s="154"/>
      <c r="K14" s="154"/>
    </row>
    <row r="15" spans="1:11" s="3" customFormat="1" ht="14.25" customHeight="1" x14ac:dyDescent="0.25">
      <c r="A15" s="155">
        <v>44547</v>
      </c>
      <c r="B15" s="161" t="s">
        <v>64</v>
      </c>
      <c r="C15" s="162">
        <v>78625</v>
      </c>
      <c r="D15" s="161" t="s">
        <v>67</v>
      </c>
      <c r="E15" s="163">
        <f>+C15*2</f>
        <v>157250</v>
      </c>
      <c r="F15" s="164">
        <f>+E15/$E$31</f>
        <v>3.6999999999999998E-2</v>
      </c>
      <c r="G15" s="154"/>
      <c r="H15" s="154"/>
      <c r="I15" s="154"/>
      <c r="J15" s="154"/>
      <c r="K15" s="154"/>
    </row>
    <row r="16" spans="1:11" s="3" customFormat="1" ht="12" customHeight="1" x14ac:dyDescent="0.25">
      <c r="A16" s="155">
        <v>44547</v>
      </c>
      <c r="B16" s="161" t="s">
        <v>65</v>
      </c>
      <c r="C16" s="162">
        <v>65875</v>
      </c>
      <c r="D16" s="161" t="s">
        <v>67</v>
      </c>
      <c r="E16" s="163">
        <f t="shared" ref="E16:E30" si="0">+C16*2</f>
        <v>131750</v>
      </c>
      <c r="F16" s="164">
        <f>+E16/$E$31</f>
        <v>3.1E-2</v>
      </c>
      <c r="G16" s="154"/>
      <c r="H16" s="154"/>
      <c r="I16" s="154"/>
      <c r="J16" s="154"/>
      <c r="K16" s="154"/>
    </row>
    <row r="17" spans="1:11" x14ac:dyDescent="0.25">
      <c r="A17" s="155">
        <v>44547</v>
      </c>
      <c r="B17" s="161" t="s">
        <v>66</v>
      </c>
      <c r="C17" s="162">
        <v>106250</v>
      </c>
      <c r="D17" s="161" t="s">
        <v>67</v>
      </c>
      <c r="E17" s="163">
        <f t="shared" si="0"/>
        <v>212500</v>
      </c>
      <c r="F17" s="164">
        <f t="shared" ref="F17:F30" si="1">+E17/$E$31</f>
        <v>0.05</v>
      </c>
      <c r="G17" s="161"/>
      <c r="H17" s="165"/>
      <c r="I17" s="165"/>
      <c r="J17" s="165"/>
      <c r="K17" s="161"/>
    </row>
    <row r="18" spans="1:11" x14ac:dyDescent="0.25">
      <c r="A18" s="155">
        <v>44547</v>
      </c>
      <c r="B18" s="161" t="s">
        <v>69</v>
      </c>
      <c r="C18" s="162">
        <v>176375</v>
      </c>
      <c r="D18" s="161" t="s">
        <v>67</v>
      </c>
      <c r="E18" s="163">
        <f t="shared" si="0"/>
        <v>352750</v>
      </c>
      <c r="F18" s="164">
        <f t="shared" si="1"/>
        <v>8.3000000000000004E-2</v>
      </c>
      <c r="G18" s="161"/>
      <c r="H18" s="161"/>
      <c r="I18" s="161"/>
      <c r="J18" s="161"/>
      <c r="K18" s="161"/>
    </row>
    <row r="19" spans="1:11" x14ac:dyDescent="0.25">
      <c r="A19" s="166">
        <v>44547</v>
      </c>
      <c r="B19" s="167" t="s">
        <v>54</v>
      </c>
      <c r="C19" s="168">
        <v>70800</v>
      </c>
      <c r="D19" s="167" t="s">
        <v>67</v>
      </c>
      <c r="E19" s="169">
        <f>+C19*2</f>
        <v>141600</v>
      </c>
      <c r="F19" s="170">
        <f t="shared" si="1"/>
        <v>3.3317647058823528E-2</v>
      </c>
      <c r="G19" s="171"/>
      <c r="H19" s="167"/>
      <c r="I19" s="161"/>
      <c r="J19" s="161"/>
      <c r="K19" s="161"/>
    </row>
    <row r="20" spans="1:11" x14ac:dyDescent="0.25">
      <c r="A20" s="155">
        <v>44547</v>
      </c>
      <c r="B20" s="161" t="s">
        <v>54</v>
      </c>
      <c r="C20" s="162">
        <v>147915</v>
      </c>
      <c r="D20" s="161" t="s">
        <v>68</v>
      </c>
      <c r="E20" s="163">
        <f>+C20*2</f>
        <v>295830</v>
      </c>
      <c r="F20" s="164">
        <f t="shared" si="1"/>
        <v>6.9607058823529411E-2</v>
      </c>
      <c r="G20" s="172">
        <f>+E20/3254150</f>
        <v>9.0908532181983012E-2</v>
      </c>
      <c r="H20" s="157">
        <f>+G20*$G$11</f>
        <v>102267.66782287235</v>
      </c>
      <c r="I20" s="161"/>
      <c r="J20" s="161"/>
      <c r="K20" s="161"/>
    </row>
    <row r="21" spans="1:11" x14ac:dyDescent="0.25">
      <c r="A21" s="155">
        <v>44547</v>
      </c>
      <c r="B21" s="161" t="s">
        <v>45</v>
      </c>
      <c r="C21" s="162">
        <v>147915</v>
      </c>
      <c r="D21" s="161" t="s">
        <v>68</v>
      </c>
      <c r="E21" s="163">
        <f t="shared" si="0"/>
        <v>295830</v>
      </c>
      <c r="F21" s="164">
        <f t="shared" si="1"/>
        <v>6.9607058823529411E-2</v>
      </c>
      <c r="G21" s="172">
        <f t="shared" ref="G21:G30" si="2">+E21/3254150</f>
        <v>9.0908532181983012E-2</v>
      </c>
      <c r="H21" s="157">
        <f t="shared" ref="H21:H30" si="3">+G21*$G$11</f>
        <v>102267.66782287235</v>
      </c>
      <c r="I21" s="161"/>
      <c r="J21" s="161"/>
      <c r="K21" s="161"/>
    </row>
    <row r="22" spans="1:11" x14ac:dyDescent="0.25">
      <c r="A22" s="155">
        <v>44547</v>
      </c>
      <c r="B22" s="161" t="s">
        <v>70</v>
      </c>
      <c r="C22" s="162">
        <v>147915</v>
      </c>
      <c r="D22" s="161" t="s">
        <v>68</v>
      </c>
      <c r="E22" s="163">
        <f t="shared" si="0"/>
        <v>295830</v>
      </c>
      <c r="F22" s="164">
        <f t="shared" si="1"/>
        <v>6.9607058823529411E-2</v>
      </c>
      <c r="G22" s="172">
        <f t="shared" si="2"/>
        <v>9.0908532181983012E-2</v>
      </c>
      <c r="H22" s="157">
        <f t="shared" si="3"/>
        <v>102267.66782287235</v>
      </c>
      <c r="I22" s="161"/>
      <c r="J22" s="161"/>
      <c r="K22" s="161"/>
    </row>
    <row r="23" spans="1:11" x14ac:dyDescent="0.25">
      <c r="A23" s="155">
        <v>44547</v>
      </c>
      <c r="B23" s="161" t="s">
        <v>49</v>
      </c>
      <c r="C23" s="162">
        <v>147915</v>
      </c>
      <c r="D23" s="161" t="s">
        <v>68</v>
      </c>
      <c r="E23" s="163">
        <f t="shared" si="0"/>
        <v>295830</v>
      </c>
      <c r="F23" s="164">
        <f t="shared" si="1"/>
        <v>6.9607058823529411E-2</v>
      </c>
      <c r="G23" s="172">
        <f t="shared" si="2"/>
        <v>9.0908532181983012E-2</v>
      </c>
      <c r="H23" s="157">
        <f t="shared" si="3"/>
        <v>102267.66782287235</v>
      </c>
      <c r="I23" s="161"/>
      <c r="J23" s="161"/>
      <c r="K23" s="161"/>
    </row>
    <row r="24" spans="1:11" x14ac:dyDescent="0.25">
      <c r="A24" s="155">
        <v>44547</v>
      </c>
      <c r="B24" s="161" t="s">
        <v>53</v>
      </c>
      <c r="C24" s="162">
        <v>295835</v>
      </c>
      <c r="D24" s="161" t="s">
        <v>68</v>
      </c>
      <c r="E24" s="163">
        <f t="shared" si="0"/>
        <v>591670</v>
      </c>
      <c r="F24" s="164">
        <f t="shared" si="1"/>
        <v>0.1392164705882353</v>
      </c>
      <c r="G24" s="172">
        <f t="shared" si="2"/>
        <v>0.18182013736305946</v>
      </c>
      <c r="H24" s="157">
        <f t="shared" si="3"/>
        <v>204538.79261994682</v>
      </c>
      <c r="I24" s="161"/>
      <c r="J24" s="161"/>
      <c r="K24" s="161"/>
    </row>
    <row r="25" spans="1:11" x14ac:dyDescent="0.25">
      <c r="A25" s="155">
        <v>44547</v>
      </c>
      <c r="B25" s="161" t="s">
        <v>71</v>
      </c>
      <c r="C25" s="162">
        <v>147915</v>
      </c>
      <c r="D25" s="161" t="s">
        <v>68</v>
      </c>
      <c r="E25" s="163">
        <f t="shared" si="0"/>
        <v>295830</v>
      </c>
      <c r="F25" s="164">
        <f t="shared" si="1"/>
        <v>6.9607058823529411E-2</v>
      </c>
      <c r="G25" s="172">
        <f t="shared" si="2"/>
        <v>9.0908532181983012E-2</v>
      </c>
      <c r="H25" s="157">
        <f t="shared" si="3"/>
        <v>102267.66782287235</v>
      </c>
      <c r="I25" s="161"/>
      <c r="J25" s="161"/>
      <c r="K25" s="161"/>
    </row>
    <row r="26" spans="1:11" x14ac:dyDescent="0.25">
      <c r="A26" s="155">
        <v>44547</v>
      </c>
      <c r="B26" s="161" t="s">
        <v>72</v>
      </c>
      <c r="C26" s="162">
        <v>147915</v>
      </c>
      <c r="D26" s="161" t="s">
        <v>68</v>
      </c>
      <c r="E26" s="163">
        <f t="shared" si="0"/>
        <v>295830</v>
      </c>
      <c r="F26" s="164">
        <f t="shared" si="1"/>
        <v>6.9607058823529411E-2</v>
      </c>
      <c r="G26" s="172">
        <f t="shared" si="2"/>
        <v>9.0908532181983012E-2</v>
      </c>
      <c r="H26" s="157">
        <f t="shared" si="3"/>
        <v>102267.66782287235</v>
      </c>
      <c r="I26" s="161"/>
      <c r="J26" s="161"/>
      <c r="K26" s="161"/>
    </row>
    <row r="27" spans="1:11" x14ac:dyDescent="0.25">
      <c r="A27" s="155">
        <v>44547</v>
      </c>
      <c r="B27" s="161" t="s">
        <v>52</v>
      </c>
      <c r="C27" s="162">
        <v>73960</v>
      </c>
      <c r="D27" s="161" t="s">
        <v>68</v>
      </c>
      <c r="E27" s="163">
        <f t="shared" si="0"/>
        <v>147920</v>
      </c>
      <c r="F27" s="164">
        <f t="shared" si="1"/>
        <v>3.4804705882352939E-2</v>
      </c>
      <c r="G27" s="172">
        <f t="shared" si="2"/>
        <v>4.5455802590538233E-2</v>
      </c>
      <c r="H27" s="157">
        <f t="shared" si="3"/>
        <v>51135.562398537251</v>
      </c>
      <c r="I27" s="161"/>
      <c r="J27" s="161"/>
      <c r="K27" s="161"/>
    </row>
    <row r="28" spans="1:11" x14ac:dyDescent="0.25">
      <c r="A28" s="155">
        <v>44547</v>
      </c>
      <c r="B28" s="161" t="s">
        <v>55</v>
      </c>
      <c r="C28" s="162">
        <v>147915</v>
      </c>
      <c r="D28" s="161" t="s">
        <v>68</v>
      </c>
      <c r="E28" s="163">
        <f t="shared" si="0"/>
        <v>295830</v>
      </c>
      <c r="F28" s="164">
        <f t="shared" si="1"/>
        <v>6.9607058823529411E-2</v>
      </c>
      <c r="G28" s="172">
        <f t="shared" si="2"/>
        <v>9.0908532181983012E-2</v>
      </c>
      <c r="H28" s="157">
        <f t="shared" si="3"/>
        <v>102267.66782287235</v>
      </c>
      <c r="I28" s="161"/>
      <c r="J28" s="161"/>
      <c r="K28" s="161"/>
    </row>
    <row r="29" spans="1:11" x14ac:dyDescent="0.25">
      <c r="A29" s="155">
        <v>44547</v>
      </c>
      <c r="B29" s="161" t="s">
        <v>46</v>
      </c>
      <c r="C29" s="162">
        <v>147915</v>
      </c>
      <c r="D29" s="161" t="s">
        <v>68</v>
      </c>
      <c r="E29" s="163">
        <f t="shared" si="0"/>
        <v>295830</v>
      </c>
      <c r="F29" s="164">
        <f t="shared" si="1"/>
        <v>6.9607058823529411E-2</v>
      </c>
      <c r="G29" s="172">
        <f t="shared" si="2"/>
        <v>9.0908532181983012E-2</v>
      </c>
      <c r="H29" s="157">
        <f t="shared" si="3"/>
        <v>102267.66782287235</v>
      </c>
      <c r="I29" s="161"/>
      <c r="J29" s="161"/>
      <c r="K29" s="161"/>
    </row>
    <row r="30" spans="1:11" ht="15.75" thickBot="1" x14ac:dyDescent="0.3">
      <c r="A30" s="155">
        <v>44547</v>
      </c>
      <c r="B30" s="161" t="s">
        <v>51</v>
      </c>
      <c r="C30" s="162">
        <v>73960</v>
      </c>
      <c r="D30" s="161" t="s">
        <v>68</v>
      </c>
      <c r="E30" s="163">
        <f t="shared" si="0"/>
        <v>147920</v>
      </c>
      <c r="F30" s="164">
        <f t="shared" si="1"/>
        <v>3.4804705882352939E-2</v>
      </c>
      <c r="G30" s="172">
        <f t="shared" si="2"/>
        <v>4.5455802590538233E-2</v>
      </c>
      <c r="H30" s="157">
        <f t="shared" si="3"/>
        <v>51135.562398537251</v>
      </c>
      <c r="I30" s="161"/>
      <c r="J30" s="161"/>
      <c r="K30" s="161"/>
    </row>
    <row r="31" spans="1:11" ht="15.75" thickBot="1" x14ac:dyDescent="0.3">
      <c r="A31" s="155"/>
      <c r="B31" s="161"/>
      <c r="C31" s="162">
        <f>SUM(C15:C30)</f>
        <v>2125000</v>
      </c>
      <c r="D31" s="161"/>
      <c r="E31" s="173">
        <f>SUM(E15:E30)</f>
        <v>4250000</v>
      </c>
      <c r="F31" s="174">
        <f>SUM(F15:F30)</f>
        <v>0.99999999999999989</v>
      </c>
      <c r="G31" s="174">
        <f>SUM(G15:G30)</f>
        <v>1.0000000000000002</v>
      </c>
      <c r="H31" s="173">
        <f>SUM(H15:H30)</f>
        <v>1124951.26</v>
      </c>
      <c r="I31" s="161"/>
      <c r="J31" s="161"/>
      <c r="K31" s="161"/>
    </row>
    <row r="32" spans="1:11" x14ac:dyDescent="0.25">
      <c r="A32" s="155"/>
      <c r="B32" s="161"/>
      <c r="C32" s="161"/>
      <c r="D32" s="161"/>
      <c r="E32" s="163"/>
      <c r="F32" s="161"/>
      <c r="G32" s="161"/>
      <c r="H32" s="161"/>
      <c r="I32" s="161"/>
      <c r="J32" s="161"/>
      <c r="K32" s="161"/>
    </row>
    <row r="33" spans="1:11" x14ac:dyDescent="0.25">
      <c r="A33" s="155"/>
      <c r="B33" s="161"/>
      <c r="C33" s="162"/>
      <c r="D33" s="161"/>
      <c r="E33" s="163"/>
      <c r="F33" s="161"/>
      <c r="G33" s="161"/>
      <c r="H33" s="161"/>
      <c r="I33" s="161"/>
      <c r="J33" s="161"/>
      <c r="K33" s="161"/>
    </row>
    <row r="34" spans="1:11" x14ac:dyDescent="0.25">
      <c r="A34" s="161"/>
      <c r="B34" s="161"/>
      <c r="C34" s="162"/>
      <c r="D34" s="161"/>
      <c r="E34" s="161"/>
      <c r="F34" s="161"/>
      <c r="G34" s="161"/>
      <c r="H34" s="161"/>
      <c r="I34" s="161"/>
      <c r="J34" s="161"/>
      <c r="K34" s="161"/>
    </row>
    <row r="35" spans="1:11" x14ac:dyDescent="0.25">
      <c r="A35" s="161"/>
      <c r="B35" s="161"/>
      <c r="C35" s="162"/>
      <c r="D35" s="161"/>
      <c r="E35" s="161"/>
      <c r="F35" s="161"/>
      <c r="G35" s="161"/>
      <c r="H35" s="161"/>
      <c r="I35" s="161"/>
      <c r="J35" s="161"/>
      <c r="K35" s="161"/>
    </row>
    <row r="36" spans="1:11" x14ac:dyDescent="0.25">
      <c r="A36" s="153" t="s">
        <v>5</v>
      </c>
      <c r="B36" s="153" t="s">
        <v>18</v>
      </c>
      <c r="C36" s="153" t="s">
        <v>33</v>
      </c>
      <c r="D36" s="153" t="s">
        <v>34</v>
      </c>
      <c r="E36" s="152"/>
      <c r="F36" s="153" t="s">
        <v>5</v>
      </c>
      <c r="G36" s="153" t="s">
        <v>74</v>
      </c>
      <c r="H36" s="153" t="s">
        <v>75</v>
      </c>
      <c r="I36" s="161"/>
      <c r="J36" s="161"/>
      <c r="K36" s="161"/>
    </row>
    <row r="37" spans="1:11" x14ac:dyDescent="0.25">
      <c r="A37" s="154" t="s">
        <v>73</v>
      </c>
      <c r="B37" s="154"/>
      <c r="C37" s="154"/>
      <c r="D37" s="154"/>
      <c r="E37" s="152"/>
      <c r="F37" s="154"/>
      <c r="G37" s="154"/>
      <c r="H37" s="161"/>
      <c r="I37" s="161"/>
      <c r="J37" s="161"/>
      <c r="K37" s="161"/>
    </row>
    <row r="38" spans="1:11" x14ac:dyDescent="0.25">
      <c r="A38" s="155">
        <v>44853</v>
      </c>
      <c r="B38" s="156">
        <f>35466+10854</f>
        <v>46320</v>
      </c>
      <c r="C38" s="157">
        <v>2</v>
      </c>
      <c r="D38" s="158">
        <f>+B38*C38</f>
        <v>92640</v>
      </c>
      <c r="E38" s="152"/>
      <c r="F38" s="155">
        <f>+A38</f>
        <v>44853</v>
      </c>
      <c r="G38" s="158">
        <f>46320*1.62</f>
        <v>75038.400000000009</v>
      </c>
      <c r="H38" s="157">
        <v>1.62</v>
      </c>
      <c r="I38" s="161"/>
      <c r="J38" s="161"/>
      <c r="K38" s="161"/>
    </row>
    <row r="39" spans="1:11" x14ac:dyDescent="0.25">
      <c r="A39" s="154"/>
      <c r="B39" s="154"/>
      <c r="C39" s="154"/>
      <c r="D39" s="159"/>
      <c r="E39" s="152"/>
      <c r="F39" s="154"/>
      <c r="G39" s="154"/>
      <c r="H39" s="161"/>
      <c r="I39" s="161"/>
      <c r="J39" s="161"/>
      <c r="K39" s="161"/>
    </row>
    <row r="40" spans="1:11" x14ac:dyDescent="0.25">
      <c r="A40" s="154"/>
      <c r="B40" s="154"/>
      <c r="C40" s="154"/>
      <c r="D40" s="154"/>
      <c r="E40" s="152"/>
      <c r="F40" s="154"/>
      <c r="G40" s="154"/>
      <c r="H40" s="161"/>
      <c r="I40" s="161"/>
      <c r="J40" s="161"/>
      <c r="K40" s="161"/>
    </row>
    <row r="41" spans="1:11" x14ac:dyDescent="0.25">
      <c r="A41" s="153" t="s">
        <v>8</v>
      </c>
      <c r="B41" s="153"/>
      <c r="C41" s="153"/>
      <c r="D41" s="160">
        <f>+D38</f>
        <v>92640</v>
      </c>
      <c r="E41" s="152"/>
      <c r="F41" s="153" t="s">
        <v>8</v>
      </c>
      <c r="G41" s="160">
        <f>+G38</f>
        <v>75038.400000000009</v>
      </c>
      <c r="H41" s="161"/>
      <c r="I41" s="161"/>
      <c r="J41" s="161"/>
      <c r="K41" s="161"/>
    </row>
    <row r="42" spans="1:11" x14ac:dyDescent="0.25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</row>
    <row r="43" spans="1:11" x14ac:dyDescent="0.25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</row>
    <row r="44" spans="1:11" x14ac:dyDescent="0.25">
      <c r="A44" s="188" t="s">
        <v>78</v>
      </c>
      <c r="B44" s="188"/>
      <c r="C44" s="188"/>
      <c r="D44" s="188"/>
      <c r="E44" s="188"/>
      <c r="F44" s="188"/>
      <c r="G44" s="188"/>
      <c r="H44" s="188"/>
      <c r="I44" s="188" t="s">
        <v>2</v>
      </c>
      <c r="J44" s="188" t="s">
        <v>82</v>
      </c>
      <c r="K44" s="161"/>
    </row>
    <row r="45" spans="1:11" x14ac:dyDescent="0.25">
      <c r="A45" s="188" t="s">
        <v>80</v>
      </c>
      <c r="B45" s="188"/>
      <c r="C45" s="188"/>
      <c r="D45" s="188"/>
      <c r="E45" s="188"/>
      <c r="F45" s="188"/>
      <c r="G45" s="188" t="s">
        <v>81</v>
      </c>
      <c r="H45" s="188"/>
      <c r="I45" s="188"/>
      <c r="J45" s="188"/>
      <c r="K45" s="161"/>
    </row>
    <row r="46" spans="1:11" x14ac:dyDescent="0.25">
      <c r="A46" s="161"/>
      <c r="B46" s="161" t="s">
        <v>76</v>
      </c>
      <c r="C46" s="162">
        <v>1089</v>
      </c>
      <c r="D46" s="161" t="s">
        <v>67</v>
      </c>
      <c r="E46" s="163">
        <f>+C46*2</f>
        <v>2178</v>
      </c>
      <c r="F46" s="175">
        <f>+C46/$B$38</f>
        <v>2.351036269430052E-2</v>
      </c>
      <c r="G46" s="154"/>
      <c r="H46" s="163">
        <f>C46*1.62</f>
        <v>1764.18</v>
      </c>
      <c r="I46" s="176">
        <f>H46+E46</f>
        <v>3942.1800000000003</v>
      </c>
      <c r="J46" s="176">
        <f>3102.34+1422.66-582.82</f>
        <v>3942.18</v>
      </c>
      <c r="K46" s="176">
        <f>J46-I46</f>
        <v>0</v>
      </c>
    </row>
    <row r="47" spans="1:11" x14ac:dyDescent="0.25">
      <c r="A47" s="155"/>
      <c r="B47" s="161" t="s">
        <v>77</v>
      </c>
      <c r="C47" s="162">
        <v>1089</v>
      </c>
      <c r="D47" s="161" t="s">
        <v>67</v>
      </c>
      <c r="E47" s="163">
        <f>+C47*2</f>
        <v>2178</v>
      </c>
      <c r="F47" s="175">
        <f t="shared" ref="F47:F60" si="4">+C47/$B$38</f>
        <v>2.351036269430052E-2</v>
      </c>
      <c r="G47" s="154"/>
      <c r="H47" s="163">
        <f t="shared" ref="H47:H60" si="5">C47*1.62</f>
        <v>1764.18</v>
      </c>
      <c r="I47" s="176">
        <f t="shared" ref="I47:I60" si="6">H47+E47</f>
        <v>3942.1800000000003</v>
      </c>
      <c r="J47" s="176">
        <f>3102.34+839.84</f>
        <v>3942.1800000000003</v>
      </c>
      <c r="K47" s="176">
        <f t="shared" ref="K47:K60" si="7">J47-I47</f>
        <v>0</v>
      </c>
    </row>
    <row r="48" spans="1:11" x14ac:dyDescent="0.25">
      <c r="A48" s="155"/>
      <c r="B48" s="161" t="s">
        <v>79</v>
      </c>
      <c r="C48" s="162">
        <v>1826</v>
      </c>
      <c r="D48" s="161" t="s">
        <v>67</v>
      </c>
      <c r="E48" s="163">
        <f t="shared" ref="E48:E49" si="8">+C48*2</f>
        <v>3652</v>
      </c>
      <c r="F48" s="175">
        <f t="shared" si="4"/>
        <v>3.9421416234887735E-2</v>
      </c>
      <c r="G48" s="154"/>
      <c r="H48" s="163">
        <f t="shared" si="5"/>
        <v>2958.1200000000003</v>
      </c>
      <c r="I48" s="176">
        <f t="shared" si="6"/>
        <v>6610.1200000000008</v>
      </c>
      <c r="J48" s="176">
        <f>5198.32+1411.8</f>
        <v>6610.12</v>
      </c>
      <c r="K48" s="176">
        <f t="shared" si="7"/>
        <v>0</v>
      </c>
    </row>
    <row r="49" spans="1:11" x14ac:dyDescent="0.25">
      <c r="A49" s="155"/>
      <c r="B49" s="161" t="s">
        <v>83</v>
      </c>
      <c r="C49" s="162">
        <v>3845</v>
      </c>
      <c r="D49" s="161" t="s">
        <v>67</v>
      </c>
      <c r="E49" s="163">
        <f t="shared" si="8"/>
        <v>7690</v>
      </c>
      <c r="F49" s="175">
        <f t="shared" si="4"/>
        <v>8.3009499136442136E-2</v>
      </c>
      <c r="G49" s="161"/>
      <c r="H49" s="163">
        <f t="shared" si="5"/>
        <v>6228.9000000000005</v>
      </c>
      <c r="I49" s="176">
        <f t="shared" si="6"/>
        <v>13918.900000000001</v>
      </c>
      <c r="J49" s="176">
        <v>13918.9</v>
      </c>
      <c r="K49" s="176">
        <f t="shared" si="7"/>
        <v>0</v>
      </c>
    </row>
    <row r="50" spans="1:11" x14ac:dyDescent="0.25">
      <c r="A50" s="166"/>
      <c r="B50" s="167" t="s">
        <v>84</v>
      </c>
      <c r="C50" s="168">
        <v>3005</v>
      </c>
      <c r="D50" s="167" t="s">
        <v>67</v>
      </c>
      <c r="E50" s="169">
        <f>+C50*2</f>
        <v>6010</v>
      </c>
      <c r="F50" s="177">
        <f t="shared" si="4"/>
        <v>6.4874784110535405E-2</v>
      </c>
      <c r="G50" s="171"/>
      <c r="H50" s="169">
        <f t="shared" si="5"/>
        <v>4868.1000000000004</v>
      </c>
      <c r="I50" s="178">
        <f t="shared" si="6"/>
        <v>10878.1</v>
      </c>
      <c r="J50" s="178">
        <f>11670.88-792.78</f>
        <v>10878.099999999999</v>
      </c>
      <c r="K50" s="176">
        <f t="shared" si="7"/>
        <v>0</v>
      </c>
    </row>
    <row r="51" spans="1:11" x14ac:dyDescent="0.25">
      <c r="A51" s="155"/>
      <c r="B51" s="161" t="s">
        <v>84</v>
      </c>
      <c r="C51" s="162">
        <v>3546</v>
      </c>
      <c r="D51" s="161" t="s">
        <v>68</v>
      </c>
      <c r="E51" s="163">
        <f>+C51*2</f>
        <v>7092</v>
      </c>
      <c r="F51" s="175">
        <f t="shared" si="4"/>
        <v>7.655440414507772E-2</v>
      </c>
      <c r="G51" s="172"/>
      <c r="H51" s="163">
        <f t="shared" si="5"/>
        <v>5744.52</v>
      </c>
      <c r="I51" s="176">
        <f t="shared" si="6"/>
        <v>12836.52</v>
      </c>
      <c r="J51" s="176">
        <f>5585.66+5292.44+1165.64+792.78</f>
        <v>12836.519999999999</v>
      </c>
      <c r="K51" s="176">
        <f t="shared" si="7"/>
        <v>0</v>
      </c>
    </row>
    <row r="52" spans="1:11" x14ac:dyDescent="0.25">
      <c r="A52" s="155"/>
      <c r="B52" s="161" t="s">
        <v>85</v>
      </c>
      <c r="C52" s="162">
        <v>3546</v>
      </c>
      <c r="D52" s="161" t="s">
        <v>68</v>
      </c>
      <c r="E52" s="163">
        <f t="shared" ref="E52:E60" si="9">+C52*2</f>
        <v>7092</v>
      </c>
      <c r="F52" s="175">
        <f t="shared" si="4"/>
        <v>7.655440414507772E-2</v>
      </c>
      <c r="G52" s="172"/>
      <c r="H52" s="163">
        <f t="shared" si="5"/>
        <v>5744.52</v>
      </c>
      <c r="I52" s="176">
        <f t="shared" si="6"/>
        <v>12836.52</v>
      </c>
      <c r="J52" s="176">
        <f>11670.88+1165.64</f>
        <v>12836.519999999999</v>
      </c>
      <c r="K52" s="176">
        <f t="shared" si="7"/>
        <v>0</v>
      </c>
    </row>
    <row r="53" spans="1:11" x14ac:dyDescent="0.25">
      <c r="A53" s="155"/>
      <c r="B53" s="161" t="s">
        <v>86</v>
      </c>
      <c r="C53" s="162">
        <v>3546</v>
      </c>
      <c r="D53" s="161" t="s">
        <v>68</v>
      </c>
      <c r="E53" s="163">
        <f t="shared" si="9"/>
        <v>7092</v>
      </c>
      <c r="F53" s="175">
        <f t="shared" si="4"/>
        <v>7.655440414507772E-2</v>
      </c>
      <c r="G53" s="172"/>
      <c r="H53" s="163">
        <f t="shared" si="5"/>
        <v>5744.52</v>
      </c>
      <c r="I53" s="176">
        <f t="shared" si="6"/>
        <v>12836.52</v>
      </c>
      <c r="J53" s="176">
        <f>11670.88+1165.64</f>
        <v>12836.519999999999</v>
      </c>
      <c r="K53" s="176">
        <f t="shared" si="7"/>
        <v>0</v>
      </c>
    </row>
    <row r="54" spans="1:11" x14ac:dyDescent="0.25">
      <c r="A54" s="155"/>
      <c r="B54" s="161" t="s">
        <v>87</v>
      </c>
      <c r="C54" s="162">
        <v>3546</v>
      </c>
      <c r="D54" s="161" t="s">
        <v>68</v>
      </c>
      <c r="E54" s="163">
        <f t="shared" si="9"/>
        <v>7092</v>
      </c>
      <c r="F54" s="175">
        <f t="shared" si="4"/>
        <v>7.655440414507772E-2</v>
      </c>
      <c r="G54" s="172"/>
      <c r="H54" s="163">
        <f t="shared" si="5"/>
        <v>5744.52</v>
      </c>
      <c r="I54" s="176">
        <f t="shared" si="6"/>
        <v>12836.52</v>
      </c>
      <c r="J54" s="176">
        <f>11670.88+1165.64</f>
        <v>12836.519999999999</v>
      </c>
      <c r="K54" s="176">
        <f t="shared" si="7"/>
        <v>0</v>
      </c>
    </row>
    <row r="55" spans="1:11" x14ac:dyDescent="0.25">
      <c r="A55" s="155"/>
      <c r="B55" s="161" t="s">
        <v>91</v>
      </c>
      <c r="C55" s="162">
        <v>7098</v>
      </c>
      <c r="D55" s="161" t="s">
        <v>68</v>
      </c>
      <c r="E55" s="163">
        <f t="shared" si="9"/>
        <v>14196</v>
      </c>
      <c r="F55" s="175">
        <f t="shared" si="4"/>
        <v>0.15323834196891192</v>
      </c>
      <c r="G55" s="172"/>
      <c r="H55" s="163">
        <f t="shared" si="5"/>
        <v>11498.76</v>
      </c>
      <c r="I55" s="176">
        <f t="shared" si="6"/>
        <v>25694.760000000002</v>
      </c>
      <c r="J55" s="176">
        <f>23349+2345.76</f>
        <v>25694.760000000002</v>
      </c>
      <c r="K55" s="176">
        <f t="shared" si="7"/>
        <v>0</v>
      </c>
    </row>
    <row r="56" spans="1:11" x14ac:dyDescent="0.25">
      <c r="A56" s="155"/>
      <c r="B56" s="161" t="s">
        <v>92</v>
      </c>
      <c r="C56" s="162">
        <v>3546</v>
      </c>
      <c r="D56" s="161" t="s">
        <v>68</v>
      </c>
      <c r="E56" s="163">
        <f t="shared" si="9"/>
        <v>7092</v>
      </c>
      <c r="F56" s="175">
        <f t="shared" si="4"/>
        <v>7.655440414507772E-2</v>
      </c>
      <c r="G56" s="172"/>
      <c r="H56" s="163">
        <f t="shared" si="5"/>
        <v>5744.52</v>
      </c>
      <c r="I56" s="176">
        <f t="shared" si="6"/>
        <v>12836.52</v>
      </c>
      <c r="J56" s="176">
        <f>1165.64+11670.88</f>
        <v>12836.519999999999</v>
      </c>
      <c r="K56" s="176">
        <f t="shared" si="7"/>
        <v>0</v>
      </c>
    </row>
    <row r="57" spans="1:11" x14ac:dyDescent="0.25">
      <c r="A57" s="155"/>
      <c r="B57" s="161" t="s">
        <v>76</v>
      </c>
      <c r="C57" s="162">
        <v>1773</v>
      </c>
      <c r="D57" s="161" t="s">
        <v>68</v>
      </c>
      <c r="E57" s="163">
        <f t="shared" si="9"/>
        <v>3546</v>
      </c>
      <c r="F57" s="175">
        <f t="shared" si="4"/>
        <v>3.827720207253886E-2</v>
      </c>
      <c r="G57" s="172"/>
      <c r="H57" s="163">
        <f t="shared" si="5"/>
        <v>2872.26</v>
      </c>
      <c r="I57" s="176">
        <f t="shared" si="6"/>
        <v>6418.26</v>
      </c>
      <c r="J57" s="176">
        <f>5835.44+582.82</f>
        <v>6418.2599999999993</v>
      </c>
      <c r="K57" s="176">
        <f t="shared" si="7"/>
        <v>0</v>
      </c>
    </row>
    <row r="58" spans="1:11" x14ac:dyDescent="0.25">
      <c r="A58" s="155"/>
      <c r="B58" s="161" t="s">
        <v>88</v>
      </c>
      <c r="C58" s="162">
        <v>3546</v>
      </c>
      <c r="D58" s="161" t="s">
        <v>68</v>
      </c>
      <c r="E58" s="163">
        <f t="shared" si="9"/>
        <v>7092</v>
      </c>
      <c r="F58" s="175">
        <f t="shared" si="4"/>
        <v>7.655440414507772E-2</v>
      </c>
      <c r="G58" s="172"/>
      <c r="H58" s="163">
        <f t="shared" si="5"/>
        <v>5744.52</v>
      </c>
      <c r="I58" s="176">
        <f t="shared" si="6"/>
        <v>12836.52</v>
      </c>
      <c r="J58" s="176">
        <f>11670.88+1165.64</f>
        <v>12836.519999999999</v>
      </c>
      <c r="K58" s="176">
        <f t="shared" si="7"/>
        <v>0</v>
      </c>
    </row>
    <row r="59" spans="1:11" x14ac:dyDescent="0.25">
      <c r="A59" s="155"/>
      <c r="B59" s="161" t="s">
        <v>89</v>
      </c>
      <c r="C59" s="162">
        <v>3546</v>
      </c>
      <c r="D59" s="161" t="s">
        <v>68</v>
      </c>
      <c r="E59" s="163">
        <f t="shared" si="9"/>
        <v>7092</v>
      </c>
      <c r="F59" s="175">
        <f t="shared" si="4"/>
        <v>7.655440414507772E-2</v>
      </c>
      <c r="G59" s="172"/>
      <c r="H59" s="163">
        <f t="shared" si="5"/>
        <v>5744.52</v>
      </c>
      <c r="I59" s="176">
        <f t="shared" si="6"/>
        <v>12836.52</v>
      </c>
      <c r="J59" s="176">
        <f>11670.88+1165.64</f>
        <v>12836.519999999999</v>
      </c>
      <c r="K59" s="176">
        <f t="shared" si="7"/>
        <v>0</v>
      </c>
    </row>
    <row r="60" spans="1:11" ht="15.75" thickBot="1" x14ac:dyDescent="0.3">
      <c r="A60" s="155"/>
      <c r="B60" s="161" t="s">
        <v>90</v>
      </c>
      <c r="C60" s="162">
        <v>1773</v>
      </c>
      <c r="D60" s="161" t="s">
        <v>68</v>
      </c>
      <c r="E60" s="163">
        <f t="shared" si="9"/>
        <v>3546</v>
      </c>
      <c r="F60" s="175">
        <f t="shared" si="4"/>
        <v>3.827720207253886E-2</v>
      </c>
      <c r="G60" s="172"/>
      <c r="H60" s="163">
        <f t="shared" si="5"/>
        <v>2872.26</v>
      </c>
      <c r="I60" s="176">
        <f t="shared" si="6"/>
        <v>6418.26</v>
      </c>
      <c r="J60" s="176">
        <f>582.82+5835.44</f>
        <v>6418.2599999999993</v>
      </c>
      <c r="K60" s="176">
        <f t="shared" si="7"/>
        <v>0</v>
      </c>
    </row>
    <row r="61" spans="1:11" ht="15.75" thickBot="1" x14ac:dyDescent="0.3">
      <c r="A61" s="161"/>
      <c r="B61" s="161"/>
      <c r="C61" s="179">
        <f>SUM(C46:C60)</f>
        <v>46320</v>
      </c>
      <c r="D61" s="180"/>
      <c r="E61" s="181">
        <f>SUM(E46:E60)</f>
        <v>92640</v>
      </c>
      <c r="F61" s="182">
        <f>SUM(F46:F60)</f>
        <v>1.0000000000000002</v>
      </c>
      <c r="G61" s="183"/>
      <c r="H61" s="181">
        <f>SUM(H46:H60)</f>
        <v>75038.400000000009</v>
      </c>
      <c r="I61" s="181">
        <f>SUM(I46:I60)</f>
        <v>167678.39999999999</v>
      </c>
      <c r="J61" s="181">
        <f>SUM(J46:J60)</f>
        <v>167678.39999999999</v>
      </c>
      <c r="K61" s="161"/>
    </row>
    <row r="62" spans="1:11" x14ac:dyDescent="0.25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</row>
    <row r="63" spans="1:11" x14ac:dyDescent="0.25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</row>
    <row r="65" spans="1:9" x14ac:dyDescent="0.25">
      <c r="A65" s="189" t="s">
        <v>182</v>
      </c>
      <c r="B65" s="189"/>
      <c r="C65" s="189"/>
      <c r="D65" s="189"/>
      <c r="E65" s="189"/>
      <c r="F65" s="189"/>
      <c r="G65" s="189"/>
      <c r="H65" s="189"/>
      <c r="I65" s="190" t="s">
        <v>2</v>
      </c>
    </row>
    <row r="66" spans="1:9" x14ac:dyDescent="0.25">
      <c r="A66" s="191" t="s">
        <v>80</v>
      </c>
      <c r="B66" s="191"/>
      <c r="C66" s="191"/>
      <c r="D66" s="191"/>
      <c r="E66" s="191"/>
      <c r="F66" s="191"/>
      <c r="G66" s="192" t="s">
        <v>93</v>
      </c>
      <c r="H66" s="192"/>
      <c r="I66" s="190"/>
    </row>
    <row r="67" spans="1:9" x14ac:dyDescent="0.25">
      <c r="B67" s="4" t="s">
        <v>76</v>
      </c>
      <c r="C67" s="184">
        <f>1089+39312</f>
        <v>40401</v>
      </c>
      <c r="D67" s="4" t="s">
        <v>67</v>
      </c>
      <c r="E67" s="72">
        <f>+C67*2</f>
        <v>80802</v>
      </c>
      <c r="F67" s="83">
        <f>+C67/$C$84</f>
        <v>1.8606654016911372E-2</v>
      </c>
      <c r="G67" s="3"/>
      <c r="H67" s="186">
        <f>H46</f>
        <v>1764.18</v>
      </c>
      <c r="I67" s="79">
        <f>H67+E67</f>
        <v>82566.179999999993</v>
      </c>
    </row>
    <row r="68" spans="1:9" x14ac:dyDescent="0.25">
      <c r="A68" s="42"/>
      <c r="B68" s="4" t="s">
        <v>77</v>
      </c>
      <c r="C68" s="184">
        <f>1089+39313</f>
        <v>40402</v>
      </c>
      <c r="D68" s="4" t="s">
        <v>67</v>
      </c>
      <c r="E68" s="72">
        <f>+C68*2</f>
        <v>80804</v>
      </c>
      <c r="F68" s="83">
        <f t="shared" ref="F68:F83" si="10">+C68/$C$84</f>
        <v>1.8607114566254628E-2</v>
      </c>
      <c r="G68" s="3"/>
      <c r="H68" s="186">
        <f>H47</f>
        <v>1764.18</v>
      </c>
      <c r="I68" s="79">
        <f t="shared" ref="I68:I83" si="11">H68+E68</f>
        <v>82568.179999999993</v>
      </c>
    </row>
    <row r="69" spans="1:9" x14ac:dyDescent="0.25">
      <c r="A69" s="42"/>
      <c r="B69" s="4" t="s">
        <v>79</v>
      </c>
      <c r="C69" s="184">
        <f>1826+C16</f>
        <v>67701</v>
      </c>
      <c r="D69" s="4" t="s">
        <v>67</v>
      </c>
      <c r="E69" s="72">
        <f t="shared" ref="E69:E71" si="12">+C69*2</f>
        <v>135402</v>
      </c>
      <c r="F69" s="83">
        <f t="shared" si="10"/>
        <v>3.1179651087817548E-2</v>
      </c>
      <c r="G69" s="3"/>
      <c r="H69" s="186">
        <f>H48</f>
        <v>2958.1200000000003</v>
      </c>
      <c r="I69" s="79">
        <f t="shared" si="11"/>
        <v>138360.12</v>
      </c>
    </row>
    <row r="70" spans="1:9" x14ac:dyDescent="0.25">
      <c r="A70" s="42"/>
      <c r="B70" s="4" t="s">
        <v>66</v>
      </c>
      <c r="C70" s="184">
        <f>C17</f>
        <v>106250</v>
      </c>
      <c r="D70" s="4" t="s">
        <v>67</v>
      </c>
      <c r="E70" s="72">
        <f t="shared" ref="E70" si="13">+C70*2</f>
        <v>212500</v>
      </c>
      <c r="F70" s="83">
        <f t="shared" si="10"/>
        <v>4.8933367721017633E-2</v>
      </c>
      <c r="G70" s="3"/>
      <c r="H70" s="186">
        <v>0</v>
      </c>
      <c r="I70" s="79">
        <f t="shared" ref="I70" si="14">H70+E70</f>
        <v>212500</v>
      </c>
    </row>
    <row r="71" spans="1:9" x14ac:dyDescent="0.25">
      <c r="A71" s="42"/>
      <c r="B71" s="4" t="s">
        <v>83</v>
      </c>
      <c r="C71" s="184">
        <f>3845+C18</f>
        <v>180220</v>
      </c>
      <c r="D71" s="4" t="s">
        <v>67</v>
      </c>
      <c r="E71" s="72">
        <f t="shared" si="12"/>
        <v>360440</v>
      </c>
      <c r="F71" s="83">
        <f t="shared" si="10"/>
        <v>8.3000202641711027E-2</v>
      </c>
      <c r="H71" s="186">
        <f>H49</f>
        <v>6228.9000000000005</v>
      </c>
      <c r="I71" s="79">
        <f t="shared" si="11"/>
        <v>366668.9</v>
      </c>
    </row>
    <row r="72" spans="1:9" x14ac:dyDescent="0.25">
      <c r="A72" s="73"/>
      <c r="B72" s="74" t="s">
        <v>84</v>
      </c>
      <c r="C72" s="185">
        <f>3005+C19</f>
        <v>73805</v>
      </c>
      <c r="D72" s="74" t="s">
        <v>67</v>
      </c>
      <c r="E72" s="75">
        <f>+C72*2</f>
        <v>147610</v>
      </c>
      <c r="F72" s="84">
        <f t="shared" si="10"/>
        <v>3.3990844279056055E-2</v>
      </c>
      <c r="G72" s="78"/>
      <c r="H72" s="187">
        <f>H50</f>
        <v>4868.1000000000004</v>
      </c>
      <c r="I72" s="86">
        <f t="shared" si="11"/>
        <v>152478.1</v>
      </c>
    </row>
    <row r="73" spans="1:9" x14ac:dyDescent="0.25">
      <c r="A73" s="42"/>
      <c r="B73" s="4" t="s">
        <v>84</v>
      </c>
      <c r="C73" s="184">
        <f>3546+C20</f>
        <v>151461</v>
      </c>
      <c r="D73" s="4" t="s">
        <v>68</v>
      </c>
      <c r="E73" s="72">
        <f>+C73*2</f>
        <v>302922</v>
      </c>
      <c r="F73" s="83">
        <f t="shared" si="10"/>
        <v>6.975526407899342E-2</v>
      </c>
      <c r="G73" s="76"/>
      <c r="H73" s="186">
        <f>(C51*1.62)+H20</f>
        <v>108012.18782287235</v>
      </c>
      <c r="I73" s="79">
        <f t="shared" si="11"/>
        <v>410934.18782287237</v>
      </c>
    </row>
    <row r="74" spans="1:9" x14ac:dyDescent="0.25">
      <c r="A74" s="42"/>
      <c r="B74" s="4" t="s">
        <v>85</v>
      </c>
      <c r="C74" s="184">
        <f>3546+C21</f>
        <v>151461</v>
      </c>
      <c r="D74" s="4" t="s">
        <v>68</v>
      </c>
      <c r="E74" s="72">
        <f t="shared" ref="E74:E83" si="15">+C74*2</f>
        <v>302922</v>
      </c>
      <c r="F74" s="83">
        <f t="shared" si="10"/>
        <v>6.975526407899342E-2</v>
      </c>
      <c r="G74" s="76"/>
      <c r="H74" s="186">
        <f>(C52*1.62)+H21</f>
        <v>108012.18782287235</v>
      </c>
      <c r="I74" s="79">
        <f t="shared" si="11"/>
        <v>410934.18782287237</v>
      </c>
    </row>
    <row r="75" spans="1:9" x14ac:dyDescent="0.25">
      <c r="A75" s="42"/>
      <c r="B75" s="4" t="s">
        <v>86</v>
      </c>
      <c r="C75" s="184">
        <f>3546+C22</f>
        <v>151461</v>
      </c>
      <c r="D75" s="4" t="s">
        <v>68</v>
      </c>
      <c r="E75" s="72">
        <f t="shared" si="15"/>
        <v>302922</v>
      </c>
      <c r="F75" s="83">
        <f t="shared" si="10"/>
        <v>6.975526407899342E-2</v>
      </c>
      <c r="G75" s="76"/>
      <c r="H75" s="186">
        <f>(C53*1.62)+H22</f>
        <v>108012.18782287235</v>
      </c>
      <c r="I75" s="79">
        <f t="shared" si="11"/>
        <v>410934.18782287237</v>
      </c>
    </row>
    <row r="76" spans="1:9" x14ac:dyDescent="0.25">
      <c r="A76" s="42"/>
      <c r="B76" s="4" t="s">
        <v>87</v>
      </c>
      <c r="C76" s="184">
        <f>3546+C23</f>
        <v>151461</v>
      </c>
      <c r="D76" s="4" t="s">
        <v>68</v>
      </c>
      <c r="E76" s="72">
        <f t="shared" si="15"/>
        <v>302922</v>
      </c>
      <c r="F76" s="83">
        <f t="shared" si="10"/>
        <v>6.975526407899342E-2</v>
      </c>
      <c r="G76" s="76"/>
      <c r="H76" s="186">
        <f>(C54*1.62)+H23</f>
        <v>108012.18782287235</v>
      </c>
      <c r="I76" s="79">
        <f t="shared" si="11"/>
        <v>410934.18782287237</v>
      </c>
    </row>
    <row r="77" spans="1:9" x14ac:dyDescent="0.25">
      <c r="A77" s="42"/>
      <c r="B77" s="4" t="s">
        <v>91</v>
      </c>
      <c r="C77" s="184">
        <f>7098+C24</f>
        <v>302933</v>
      </c>
      <c r="D77" s="4" t="s">
        <v>68</v>
      </c>
      <c r="E77" s="72">
        <f t="shared" si="15"/>
        <v>605866</v>
      </c>
      <c r="F77" s="83">
        <f t="shared" si="10"/>
        <v>0.13951559420076268</v>
      </c>
      <c r="G77" s="76"/>
      <c r="H77" s="186">
        <f>(C55*1.62)+H24</f>
        <v>216037.55261994683</v>
      </c>
      <c r="I77" s="79">
        <f t="shared" si="11"/>
        <v>821903.55261994689</v>
      </c>
    </row>
    <row r="78" spans="1:9" x14ac:dyDescent="0.25">
      <c r="A78" s="42"/>
      <c r="B78" s="4" t="s">
        <v>71</v>
      </c>
      <c r="C78" s="184">
        <f>C25</f>
        <v>147915</v>
      </c>
      <c r="D78" s="4" t="s">
        <v>68</v>
      </c>
      <c r="E78" s="72">
        <f t="shared" si="15"/>
        <v>295830</v>
      </c>
      <c r="F78" s="83">
        <f t="shared" si="10"/>
        <v>6.8122156107805393E-2</v>
      </c>
      <c r="G78" s="76"/>
      <c r="H78" s="186">
        <f>H25</f>
        <v>102267.66782287235</v>
      </c>
      <c r="I78" s="79">
        <f t="shared" si="11"/>
        <v>398097.66782287235</v>
      </c>
    </row>
    <row r="79" spans="1:9" x14ac:dyDescent="0.25">
      <c r="A79" s="42"/>
      <c r="B79" s="4" t="s">
        <v>92</v>
      </c>
      <c r="C79" s="184">
        <f>3546+C26</f>
        <v>151461</v>
      </c>
      <c r="D79" s="4" t="s">
        <v>68</v>
      </c>
      <c r="E79" s="72">
        <f t="shared" si="15"/>
        <v>302922</v>
      </c>
      <c r="F79" s="83">
        <f t="shared" si="10"/>
        <v>6.975526407899342E-2</v>
      </c>
      <c r="G79" s="76"/>
      <c r="H79" s="186">
        <f>(C56*1.62)+H26</f>
        <v>108012.18782287235</v>
      </c>
      <c r="I79" s="79">
        <f t="shared" si="11"/>
        <v>410934.18782287237</v>
      </c>
    </row>
    <row r="80" spans="1:9" x14ac:dyDescent="0.25">
      <c r="A80" s="42"/>
      <c r="B80" s="4" t="s">
        <v>76</v>
      </c>
      <c r="C80" s="184">
        <f>1773+C27</f>
        <v>75733</v>
      </c>
      <c r="D80" s="4" t="s">
        <v>68</v>
      </c>
      <c r="E80" s="72">
        <f t="shared" si="15"/>
        <v>151466</v>
      </c>
      <c r="F80" s="83">
        <f t="shared" si="10"/>
        <v>3.4878783412854851E-2</v>
      </c>
      <c r="G80" s="76"/>
      <c r="H80" s="186">
        <f>(C57*1.62)+H27</f>
        <v>54007.822398537253</v>
      </c>
      <c r="I80" s="79">
        <f t="shared" si="11"/>
        <v>205473.82239853725</v>
      </c>
    </row>
    <row r="81" spans="1:9" x14ac:dyDescent="0.25">
      <c r="A81" s="42"/>
      <c r="B81" s="4" t="s">
        <v>88</v>
      </c>
      <c r="C81" s="184">
        <f>3546+C28</f>
        <v>151461</v>
      </c>
      <c r="D81" s="4" t="s">
        <v>68</v>
      </c>
      <c r="E81" s="72">
        <f t="shared" si="15"/>
        <v>302922</v>
      </c>
      <c r="F81" s="83">
        <f t="shared" si="10"/>
        <v>6.975526407899342E-2</v>
      </c>
      <c r="G81" s="76"/>
      <c r="H81" s="186">
        <f>(C58*1.62)+H28</f>
        <v>108012.18782287235</v>
      </c>
      <c r="I81" s="79">
        <f t="shared" si="11"/>
        <v>410934.18782287237</v>
      </c>
    </row>
    <row r="82" spans="1:9" x14ac:dyDescent="0.25">
      <c r="A82" s="42"/>
      <c r="B82" s="4" t="s">
        <v>89</v>
      </c>
      <c r="C82" s="184">
        <f>3546+C29</f>
        <v>151461</v>
      </c>
      <c r="D82" s="4" t="s">
        <v>68</v>
      </c>
      <c r="E82" s="72">
        <f t="shared" si="15"/>
        <v>302922</v>
      </c>
      <c r="F82" s="83">
        <f t="shared" si="10"/>
        <v>6.975526407899342E-2</v>
      </c>
      <c r="G82" s="76"/>
      <c r="H82" s="186">
        <f>(C58*1.62)+H29</f>
        <v>108012.18782287235</v>
      </c>
      <c r="I82" s="79">
        <f t="shared" si="11"/>
        <v>410934.18782287237</v>
      </c>
    </row>
    <row r="83" spans="1:9" ht="15.75" thickBot="1" x14ac:dyDescent="0.3">
      <c r="A83" s="42"/>
      <c r="B83" s="4" t="s">
        <v>90</v>
      </c>
      <c r="C83" s="184">
        <f>1773+C30</f>
        <v>75733</v>
      </c>
      <c r="D83" s="4" t="s">
        <v>68</v>
      </c>
      <c r="E83" s="72">
        <f t="shared" si="15"/>
        <v>151466</v>
      </c>
      <c r="F83" s="83">
        <f t="shared" si="10"/>
        <v>3.4878783412854851E-2</v>
      </c>
      <c r="G83" s="76"/>
      <c r="H83" s="186">
        <f>(C60*1.62)+H30</f>
        <v>54007.822398537253</v>
      </c>
      <c r="I83" s="79">
        <f t="shared" si="11"/>
        <v>205473.82239853725</v>
      </c>
    </row>
    <row r="84" spans="1:9" ht="15.75" thickBot="1" x14ac:dyDescent="0.3">
      <c r="C84" s="87">
        <f>SUM(C67:C83)</f>
        <v>2171320</v>
      </c>
      <c r="D84" s="81"/>
      <c r="E84" s="77">
        <f>SUM(E67:E83)</f>
        <v>4342640</v>
      </c>
      <c r="F84" s="85">
        <f>SUM(F67:F83)</f>
        <v>1</v>
      </c>
      <c r="G84" s="82"/>
      <c r="H84" s="77">
        <f>SUM(H67:H83)</f>
        <v>1199989.6600000001</v>
      </c>
      <c r="I84" s="77">
        <f>SUM(I67:I83)</f>
        <v>5542629.6600000001</v>
      </c>
    </row>
    <row r="87" spans="1:9" x14ac:dyDescent="0.25">
      <c r="C87" s="46">
        <f>SUM(C73:C83)</f>
        <v>1662541</v>
      </c>
      <c r="D87" s="4" t="s">
        <v>108</v>
      </c>
    </row>
    <row r="88" spans="1:9" x14ac:dyDescent="0.25">
      <c r="C88" s="46">
        <f>SUM(C67:C72)</f>
        <v>508779</v>
      </c>
      <c r="D88" s="4" t="s">
        <v>109</v>
      </c>
    </row>
    <row r="95" spans="1:9" x14ac:dyDescent="0.25">
      <c r="C95" s="4" t="s">
        <v>151</v>
      </c>
      <c r="D95" s="4">
        <v>-113761.32</v>
      </c>
    </row>
    <row r="96" spans="1:9" x14ac:dyDescent="0.25">
      <c r="C96" s="4" t="s">
        <v>150</v>
      </c>
      <c r="D96" s="74">
        <v>26377.1</v>
      </c>
    </row>
    <row r="97" spans="3:4" x14ac:dyDescent="0.25">
      <c r="D97" s="4">
        <f>SUM(D95:D96)</f>
        <v>-87384.22</v>
      </c>
    </row>
    <row r="98" spans="3:4" x14ac:dyDescent="0.25">
      <c r="C98" s="4" t="s">
        <v>152</v>
      </c>
      <c r="D98" s="74">
        <v>-62401.88</v>
      </c>
    </row>
    <row r="99" spans="3:4" x14ac:dyDescent="0.25">
      <c r="D99" s="4">
        <f>+D97+D98</f>
        <v>-149786.1</v>
      </c>
    </row>
  </sheetData>
  <mergeCells count="9">
    <mergeCell ref="J44:J45"/>
    <mergeCell ref="A45:F45"/>
    <mergeCell ref="G45:H45"/>
    <mergeCell ref="A65:H65"/>
    <mergeCell ref="I65:I66"/>
    <mergeCell ref="A66:F66"/>
    <mergeCell ref="G66:H66"/>
    <mergeCell ref="A44:H44"/>
    <mergeCell ref="I44:I45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FB46-8D88-4F5F-958E-3308BD790982}">
  <dimension ref="A1:M26"/>
  <sheetViews>
    <sheetView tabSelected="1" zoomScale="115" zoomScaleNormal="115" workbookViewId="0">
      <selection activeCell="H18" sqref="H18"/>
    </sheetView>
  </sheetViews>
  <sheetFormatPr defaultColWidth="9.140625" defaultRowHeight="15" x14ac:dyDescent="0.25"/>
  <cols>
    <col min="1" max="1" width="20.28515625" style="4" customWidth="1"/>
    <col min="2" max="4" width="19.5703125" style="4" customWidth="1"/>
    <col min="5" max="5" width="1.140625" style="4" customWidth="1"/>
    <col min="6" max="9" width="24.140625" style="4" customWidth="1"/>
    <col min="10" max="10" width="1.140625" style="4" customWidth="1"/>
    <col min="11" max="11" width="17.140625" style="4" bestFit="1" customWidth="1"/>
    <col min="12" max="13" width="14.85546875" style="4" customWidth="1"/>
    <col min="14" max="15" width="12.42578125" style="4" customWidth="1"/>
    <col min="16" max="44" width="12" style="4" bestFit="1" customWidth="1"/>
    <col min="45" max="46" width="11.28515625" style="4" customWidth="1"/>
    <col min="47" max="47" width="10.140625" style="4" bestFit="1" customWidth="1"/>
    <col min="48" max="254" width="11.42578125" style="4" customWidth="1"/>
    <col min="255" max="16384" width="9.140625" style="4"/>
  </cols>
  <sheetData>
    <row r="1" spans="1:13" s="1" customFormat="1" ht="19.899999999999999" customHeight="1" x14ac:dyDescent="0.25">
      <c r="A1" s="18" t="s">
        <v>9</v>
      </c>
      <c r="F1" s="9" t="s">
        <v>0</v>
      </c>
      <c r="G1" s="19">
        <v>46022</v>
      </c>
      <c r="K1" s="19"/>
      <c r="L1" s="19"/>
      <c r="M1" s="19"/>
    </row>
    <row r="2" spans="1:13" s="1" customFormat="1" x14ac:dyDescent="0.25">
      <c r="A2" s="9" t="s">
        <v>98</v>
      </c>
    </row>
    <row r="3" spans="1:13" s="1" customFormat="1" x14ac:dyDescent="0.25">
      <c r="A3" s="2"/>
      <c r="G3" s="88"/>
    </row>
    <row r="4" spans="1:13" s="1" customFormat="1" x14ac:dyDescent="0.25">
      <c r="A4" s="9"/>
    </row>
    <row r="6" spans="1:13" ht="25.5" x14ac:dyDescent="0.25">
      <c r="A6" s="68" t="s">
        <v>142</v>
      </c>
      <c r="B6" s="65" t="s">
        <v>44</v>
      </c>
      <c r="C6" s="65" t="s">
        <v>143</v>
      </c>
      <c r="D6" s="65" t="s">
        <v>144</v>
      </c>
      <c r="F6" s="65" t="s">
        <v>145</v>
      </c>
      <c r="G6" s="65" t="s">
        <v>146</v>
      </c>
      <c r="H6" s="65" t="s">
        <v>147</v>
      </c>
      <c r="I6" s="65" t="s">
        <v>169</v>
      </c>
    </row>
    <row r="7" spans="1:13" x14ac:dyDescent="0.25">
      <c r="A7" s="64" t="s">
        <v>45</v>
      </c>
      <c r="B7" s="66">
        <v>19170</v>
      </c>
      <c r="C7" s="66">
        <v>0</v>
      </c>
      <c r="D7" s="66">
        <v>0</v>
      </c>
      <c r="E7" s="131"/>
      <c r="F7" s="66">
        <f>+'LOAN ARCO IRIS'!I18*70%</f>
        <v>0</v>
      </c>
      <c r="G7" s="66">
        <f>+'LOAN ARCO IRIS'!K18*70%</f>
        <v>0</v>
      </c>
      <c r="H7" s="66">
        <f>+'LOAN ARCO IRIS'!M18*70%</f>
        <v>0</v>
      </c>
      <c r="I7" s="66">
        <f>+'LOAN ARCO IRIS'!N18*70%</f>
        <v>0</v>
      </c>
      <c r="J7" s="131"/>
      <c r="K7" s="66">
        <f>SUM(F7:J7)</f>
        <v>0</v>
      </c>
    </row>
    <row r="8" spans="1:13" x14ac:dyDescent="0.25">
      <c r="A8" s="64" t="s">
        <v>46</v>
      </c>
      <c r="B8" s="66">
        <f>69170-C8</f>
        <v>20957.949999999997</v>
      </c>
      <c r="C8" s="66">
        <v>48212.05</v>
      </c>
      <c r="D8" s="66">
        <v>0</v>
      </c>
      <c r="E8" s="131"/>
      <c r="F8" s="66">
        <f>+'LOAN ARCO IRIS'!I19*70%</f>
        <v>2729.8321492007108</v>
      </c>
      <c r="G8" s="66">
        <f>+'LOAN ARCO IRIS'!K19*70%</f>
        <v>2842.690064903577</v>
      </c>
      <c r="H8" s="66">
        <f>+'LOAN ARCO IRIS'!M19*70%</f>
        <v>2372.1786455496494</v>
      </c>
      <c r="I8" s="66">
        <f>+'LOAN ARCO IRIS'!O19*70%</f>
        <v>2368.2311357986327</v>
      </c>
      <c r="J8" s="131"/>
      <c r="K8" s="66">
        <f>SUM(F8:J8)</f>
        <v>10312.931995452571</v>
      </c>
      <c r="L8" s="37" t="s">
        <v>179</v>
      </c>
    </row>
    <row r="9" spans="1:13" x14ac:dyDescent="0.25">
      <c r="A9" s="64" t="s">
        <v>47</v>
      </c>
      <c r="B9" s="66">
        <f>22670-C9</f>
        <v>19295.16</v>
      </c>
      <c r="C9" s="66">
        <v>3374.84</v>
      </c>
      <c r="D9" s="66">
        <v>0</v>
      </c>
      <c r="E9" s="131"/>
      <c r="F9" s="66">
        <f>+'LOAN ARCO IRIS'!I20*70%</f>
        <v>191.08880994671406</v>
      </c>
      <c r="G9" s="66">
        <f>+'LOAN ARCO IRIS'!K20*70%</f>
        <v>198.98827072997878</v>
      </c>
      <c r="H9" s="66">
        <f>+'LOAN ARCO IRIS'!M20*70%</f>
        <v>166.05247697185001</v>
      </c>
      <c r="I9" s="66">
        <f>+'LOAN ARCO IRIS'!O20*70%</f>
        <v>165.77615133623371</v>
      </c>
      <c r="J9" s="131"/>
      <c r="K9" s="66">
        <f>SUM(F9:J9)</f>
        <v>721.90570898477665</v>
      </c>
      <c r="L9" s="37" t="s">
        <v>178</v>
      </c>
    </row>
    <row r="10" spans="1:13" x14ac:dyDescent="0.25">
      <c r="A10" s="64" t="s">
        <v>48</v>
      </c>
      <c r="B10" s="66">
        <f>59170-C10</f>
        <v>20600.36</v>
      </c>
      <c r="C10" s="66">
        <v>38569.64</v>
      </c>
      <c r="D10" s="66">
        <v>0</v>
      </c>
      <c r="E10" s="131"/>
      <c r="F10" s="66">
        <f>+'LOAN ARCO IRIS'!I21*70%</f>
        <v>2183.8657193605686</v>
      </c>
      <c r="G10" s="66">
        <f>+'LOAN ARCO IRIS'!K21*70%</f>
        <v>2274.1520702003058</v>
      </c>
      <c r="H10" s="66">
        <f>+'LOAN ARCO IRIS'!M21*70%</f>
        <v>1897.7429316919499</v>
      </c>
      <c r="I10" s="66">
        <f>+'LOAN ARCO IRIS'!O21*70%</f>
        <v>1894.5849238657552</v>
      </c>
      <c r="J10" s="131"/>
      <c r="K10" s="66">
        <f t="shared" ref="K10:K17" si="0">SUM(F10:J10)</f>
        <v>8250.3456451185793</v>
      </c>
      <c r="L10" s="37" t="s">
        <v>177</v>
      </c>
    </row>
    <row r="11" spans="1:13" x14ac:dyDescent="0.25">
      <c r="A11" s="64" t="s">
        <v>49</v>
      </c>
      <c r="B11" s="66">
        <f>49170-C11</f>
        <v>20242.77</v>
      </c>
      <c r="C11" s="66">
        <v>28927.23</v>
      </c>
      <c r="D11" s="66">
        <v>0</v>
      </c>
      <c r="E11" s="131"/>
      <c r="F11" s="66">
        <f>+'LOAN ARCO IRIS'!I22*70%</f>
        <v>1637.899289520426</v>
      </c>
      <c r="G11" s="66">
        <f>+'LOAN ARCO IRIS'!K22*70%</f>
        <v>1705.6139841098138</v>
      </c>
      <c r="H11" s="66">
        <f>+'LOAN ARCO IRIS'!M22*70%</f>
        <v>1423.3071415730999</v>
      </c>
      <c r="I11" s="66">
        <f>+'LOAN ARCO IRIS'!O22*70%</f>
        <v>1420.9386357986327</v>
      </c>
      <c r="J11" s="131"/>
      <c r="K11" s="66">
        <f t="shared" si="0"/>
        <v>6187.7590510019727</v>
      </c>
      <c r="L11" s="37" t="s">
        <v>176</v>
      </c>
    </row>
    <row r="12" spans="1:13" x14ac:dyDescent="0.25">
      <c r="A12" s="64" t="s">
        <v>50</v>
      </c>
      <c r="B12" s="66">
        <f>30670-C12</f>
        <v>19581.23</v>
      </c>
      <c r="C12" s="66">
        <v>11088.77</v>
      </c>
      <c r="D12" s="66">
        <v>0</v>
      </c>
      <c r="E12" s="131"/>
      <c r="F12" s="66">
        <f>+'LOAN ARCO IRIS'!I23*70%</f>
        <v>627.86145648312606</v>
      </c>
      <c r="G12" s="66">
        <f>+'LOAN ARCO IRIS'!K23*70%</f>
        <v>653.81872132492833</v>
      </c>
      <c r="H12" s="66">
        <f>+'LOAN ARCO IRIS'!M23*70%</f>
        <v>545.60109381469999</v>
      </c>
      <c r="I12" s="66">
        <f>+'LOAN ARCO IRIS'!O23*70%</f>
        <v>544.69316656308274</v>
      </c>
      <c r="J12" s="131"/>
      <c r="K12" s="66">
        <f t="shared" si="0"/>
        <v>2371.9744381858372</v>
      </c>
      <c r="L12" s="37" t="s">
        <v>175</v>
      </c>
    </row>
    <row r="13" spans="1:13" x14ac:dyDescent="0.25">
      <c r="A13" s="64" t="s">
        <v>52</v>
      </c>
      <c r="B13" s="66">
        <f>77580-C13</f>
        <v>12011.619999999995</v>
      </c>
      <c r="C13" s="66">
        <v>65568.38</v>
      </c>
      <c r="D13" s="66">
        <v>0</v>
      </c>
      <c r="E13" s="131"/>
      <c r="F13" s="66">
        <f>+'LOAN ARCO IRIS'!I24*70%</f>
        <v>3712.5712255772646</v>
      </c>
      <c r="G13" s="66">
        <f>+'LOAN ARCO IRIS'!K24*70%</f>
        <v>3866.0584188145772</v>
      </c>
      <c r="H13" s="66">
        <f>+'LOAN ARCO IRIS'!M24*70%</f>
        <v>3226.1628999890499</v>
      </c>
      <c r="I13" s="66">
        <f>+'LOAN ARCO IRIS'!O24*70%</f>
        <v>3220.7942868241144</v>
      </c>
      <c r="J13" s="131"/>
      <c r="K13" s="66">
        <f t="shared" si="0"/>
        <v>14025.586831205008</v>
      </c>
      <c r="L13" s="37" t="s">
        <v>174</v>
      </c>
    </row>
    <row r="14" spans="1:13" x14ac:dyDescent="0.25">
      <c r="A14" s="64" t="s">
        <v>51</v>
      </c>
      <c r="B14" s="66">
        <f>66906.31-C14-D14</f>
        <v>10563.369999999992</v>
      </c>
      <c r="C14" s="66">
        <v>26516.63</v>
      </c>
      <c r="D14" s="66">
        <v>29826.31</v>
      </c>
      <c r="E14" s="131"/>
      <c r="F14" s="66">
        <f>+'LOAN ARCO IRIS'!I25*70%+'LOAN ARCO IRIS'!I9*70%</f>
        <v>2680.5598579040852</v>
      </c>
      <c r="G14" s="66">
        <f>+'LOAN ARCO IRIS'!K25*70%+'LOAN ARCO IRIS'!K9*70%</f>
        <v>2888.2848203961357</v>
      </c>
      <c r="H14" s="66">
        <f>+'LOAN ARCO IRIS'!M25*70%+'LOAN ARCO IRIS'!M9*70%</f>
        <v>2487.6132744592496</v>
      </c>
      <c r="I14" s="66">
        <f>+'LOAN ARCO IRIS'!O25*70%+'LOAN ARCO IRIS'!O9*70%</f>
        <v>2334.0116096954634</v>
      </c>
      <c r="J14" s="131"/>
      <c r="K14" s="66">
        <f t="shared" si="0"/>
        <v>10390.469562454935</v>
      </c>
      <c r="L14" s="37" t="s">
        <v>173</v>
      </c>
    </row>
    <row r="15" spans="1:13" x14ac:dyDescent="0.25">
      <c r="A15" s="64" t="s">
        <v>55</v>
      </c>
      <c r="B15" s="66">
        <f>192670-C15-D15</f>
        <v>21798.289999999994</v>
      </c>
      <c r="C15" s="66">
        <v>70871.710000000006</v>
      </c>
      <c r="D15" s="66">
        <v>100000</v>
      </c>
      <c r="E15" s="131"/>
      <c r="F15" s="66">
        <f>+'LOAN ARCO IRIS'!I26*70%+'LOAN ARCO IRIS'!I10*70%</f>
        <v>7966.2536412078134</v>
      </c>
      <c r="G15" s="66">
        <f>+'LOAN ARCO IRIS'!K26*70%+'LOAN ARCO IRIS'!K10*70%</f>
        <v>8620.4865791338743</v>
      </c>
      <c r="H15" s="66">
        <f>+'LOAN ARCO IRIS'!M26*70%+'LOAN ARCO IRIS'!M10*70%</f>
        <v>7453.1148599018998</v>
      </c>
      <c r="I15" s="66">
        <f>+'LOAN ARCO IRIS'!O26*70%+'LOAN ARCO IRIS'!O10*70%</f>
        <v>6939.6039108141704</v>
      </c>
      <c r="J15" s="131"/>
      <c r="K15" s="66">
        <f>SUM(F15:J15)</f>
        <v>30979.458991057756</v>
      </c>
      <c r="L15" s="37" t="s">
        <v>172</v>
      </c>
    </row>
    <row r="16" spans="1:13" x14ac:dyDescent="0.25">
      <c r="A16" s="64" t="s">
        <v>54</v>
      </c>
      <c r="B16" s="66">
        <f>49170-C16</f>
        <v>20242.77</v>
      </c>
      <c r="C16" s="66">
        <v>28927.23</v>
      </c>
      <c r="D16" s="66">
        <v>0</v>
      </c>
      <c r="E16" s="131"/>
      <c r="F16" s="66">
        <f>+'LOAN ARCO IRIS'!I27*70%</f>
        <v>1637.899289520426</v>
      </c>
      <c r="G16" s="66">
        <f>+'LOAN ARCO IRIS'!K27*70%</f>
        <v>1705.6139841098138</v>
      </c>
      <c r="H16" s="66">
        <f>+'LOAN ARCO IRIS'!M27*70%</f>
        <v>1423.3071415730999</v>
      </c>
      <c r="I16" s="66">
        <f>+'LOAN ARCO IRIS'!O27*70%</f>
        <v>1420.9386357986327</v>
      </c>
      <c r="J16" s="131"/>
      <c r="K16" s="66">
        <f t="shared" si="0"/>
        <v>6187.7590510019727</v>
      </c>
      <c r="L16" s="37" t="s">
        <v>171</v>
      </c>
    </row>
    <row r="17" spans="1:12" ht="15.75" thickBot="1" x14ac:dyDescent="0.3">
      <c r="A17" s="64" t="s">
        <v>53</v>
      </c>
      <c r="B17" s="66">
        <f>138330-C17</f>
        <v>41905.910000000003</v>
      </c>
      <c r="C17" s="66">
        <v>96424.09</v>
      </c>
      <c r="D17" s="66">
        <v>0</v>
      </c>
      <c r="E17" s="131"/>
      <c r="F17" s="66">
        <f>+'LOAN ARCO IRIS'!I28*70%</f>
        <v>5459.6630550621667</v>
      </c>
      <c r="G17" s="66">
        <f>+'LOAN ARCO IRIS'!K28*70%</f>
        <v>5685.3801298071539</v>
      </c>
      <c r="H17" s="66">
        <f>+'LOAN ARCO IRIS'!M28*70%</f>
        <v>4744.3572910992989</v>
      </c>
      <c r="I17" s="66">
        <f>+'LOAN ARCO IRIS'!O28*70%</f>
        <v>4736.4622715972655</v>
      </c>
      <c r="J17" s="131"/>
      <c r="K17" s="66">
        <f t="shared" si="0"/>
        <v>20625.862747565887</v>
      </c>
      <c r="L17" s="37" t="s">
        <v>170</v>
      </c>
    </row>
    <row r="18" spans="1:12" ht="15.75" thickBot="1" x14ac:dyDescent="0.3">
      <c r="A18" s="137">
        <f>SUM(B18:D18)</f>
        <v>774676.31</v>
      </c>
      <c r="B18" s="135">
        <f>SUM(B7:B17)</f>
        <v>226369.43</v>
      </c>
      <c r="C18" s="67">
        <f>SUM(C7:C17)</f>
        <v>418480.56999999995</v>
      </c>
      <c r="D18" s="67">
        <f>SUM(D7:D17)</f>
        <v>129826.31</v>
      </c>
      <c r="F18" s="67">
        <f>SUM(F7:F17)</f>
        <v>28827.494493783299</v>
      </c>
      <c r="G18" s="67">
        <f>SUM(G7:G17)</f>
        <v>30441.087043530162</v>
      </c>
      <c r="H18" s="201">
        <f>SUM(H7:H17)</f>
        <v>25739.437756623847</v>
      </c>
      <c r="I18" s="201">
        <f>SUM(I7:I17)</f>
        <v>25046.034728091985</v>
      </c>
      <c r="K18" s="138">
        <f>SUM(K7:K17)</f>
        <v>110054.05402202929</v>
      </c>
      <c r="L18" s="4" t="s">
        <v>180</v>
      </c>
    </row>
    <row r="21" spans="1:12" ht="28.5" x14ac:dyDescent="0.25">
      <c r="A21" s="93" t="s">
        <v>105</v>
      </c>
      <c r="B21" s="69" t="s">
        <v>100</v>
      </c>
      <c r="C21" s="65" t="s">
        <v>101</v>
      </c>
    </row>
    <row r="22" spans="1:12" x14ac:dyDescent="0.25">
      <c r="A22" s="136">
        <v>44931</v>
      </c>
      <c r="B22" s="94">
        <v>500000</v>
      </c>
      <c r="C22" s="95">
        <v>87627.06</v>
      </c>
      <c r="D22" s="4" t="s">
        <v>102</v>
      </c>
      <c r="E22" s="97"/>
      <c r="F22" s="98"/>
      <c r="G22" s="98"/>
      <c r="H22" s="99"/>
      <c r="I22" s="99"/>
      <c r="J22" s="97"/>
    </row>
    <row r="23" spans="1:12" x14ac:dyDescent="0.25">
      <c r="A23" s="136">
        <v>44931</v>
      </c>
      <c r="B23" s="94">
        <v>-489151.72</v>
      </c>
      <c r="C23" s="95">
        <v>-85725.85</v>
      </c>
      <c r="D23" s="4" t="s">
        <v>103</v>
      </c>
      <c r="E23" s="97"/>
      <c r="F23" s="98"/>
      <c r="G23" s="98"/>
      <c r="H23" s="99"/>
      <c r="I23" s="99"/>
      <c r="J23" s="97"/>
    </row>
    <row r="24" spans="1:12" x14ac:dyDescent="0.25">
      <c r="A24" s="136">
        <v>45291</v>
      </c>
      <c r="B24" s="94"/>
      <c r="C24" s="95">
        <v>122.04</v>
      </c>
      <c r="D24" s="4" t="s">
        <v>104</v>
      </c>
      <c r="E24" s="97"/>
      <c r="F24" s="98"/>
      <c r="G24" s="98"/>
      <c r="H24" s="99"/>
      <c r="I24" s="99"/>
      <c r="J24" s="97"/>
    </row>
    <row r="25" spans="1:12" ht="15.75" thickBot="1" x14ac:dyDescent="0.3">
      <c r="A25" s="92"/>
      <c r="B25" s="100">
        <f>SUM(B22:B24)</f>
        <v>10848.280000000028</v>
      </c>
      <c r="C25" s="96">
        <f>SUM(C22:C24)</f>
        <v>2023.2499999999918</v>
      </c>
      <c r="E25" s="97"/>
      <c r="F25" s="98"/>
      <c r="G25" s="98"/>
      <c r="H25" s="99"/>
      <c r="I25" s="99"/>
      <c r="J25" s="97"/>
    </row>
    <row r="26" spans="1:12" ht="15.75" thickTop="1" x14ac:dyDescent="0.25"/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422D-C355-4CD4-A1D0-D33A6406E889}">
  <dimension ref="A2:C9"/>
  <sheetViews>
    <sheetView workbookViewId="0">
      <selection activeCell="C6" sqref="C6"/>
    </sheetView>
  </sheetViews>
  <sheetFormatPr defaultColWidth="9" defaultRowHeight="12.75" x14ac:dyDescent="0.25"/>
  <cols>
    <col min="1" max="1" width="19.140625" bestFit="1" customWidth="1"/>
    <col min="3" max="3" width="11.42578125" style="147" bestFit="1" customWidth="1"/>
  </cols>
  <sheetData>
    <row r="2" spans="1:3" x14ac:dyDescent="0.25">
      <c r="A2" s="146" t="s">
        <v>181</v>
      </c>
      <c r="B2">
        <v>2019</v>
      </c>
      <c r="C2" s="147">
        <v>-2422.37</v>
      </c>
    </row>
    <row r="3" spans="1:3" x14ac:dyDescent="0.25">
      <c r="B3">
        <v>2020</v>
      </c>
      <c r="C3" s="147">
        <v>-6590.61</v>
      </c>
    </row>
    <row r="4" spans="1:3" x14ac:dyDescent="0.25">
      <c r="B4">
        <v>2021</v>
      </c>
      <c r="C4" s="147">
        <v>-15174.44</v>
      </c>
    </row>
    <row r="5" spans="1:3" x14ac:dyDescent="0.25">
      <c r="B5">
        <v>2022</v>
      </c>
      <c r="C5" s="147">
        <v>0</v>
      </c>
    </row>
    <row r="6" spans="1:3" x14ac:dyDescent="0.25">
      <c r="B6">
        <v>2023</v>
      </c>
      <c r="C6" s="147">
        <v>0</v>
      </c>
    </row>
    <row r="7" spans="1:3" x14ac:dyDescent="0.25">
      <c r="B7">
        <v>2024</v>
      </c>
      <c r="C7" s="147">
        <v>-57586.879999999997</v>
      </c>
    </row>
    <row r="8" spans="1:3" ht="13.5" thickBot="1" x14ac:dyDescent="0.3"/>
    <row r="9" spans="1:3" ht="13.5" thickBot="1" x14ac:dyDescent="0.3">
      <c r="A9" s="146" t="s">
        <v>8</v>
      </c>
      <c r="C9" s="148">
        <f>SUM(C2:C8)</f>
        <v>-81774.299999999988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AMORT</vt:lpstr>
      <vt:lpstr>PARTICIP</vt:lpstr>
      <vt:lpstr>LOAN ARCO IRIS</vt:lpstr>
      <vt:lpstr>CAPITAL</vt:lpstr>
      <vt:lpstr>LOAN OUT</vt:lpstr>
      <vt:lpstr>RES REP</vt:lpstr>
      <vt:lpstr>AMORT!Area_stampa</vt:lpstr>
    </vt:vector>
  </TitlesOfParts>
  <Company>S.E.B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Servitia</dc:creator>
  <cp:lastModifiedBy>Edoardo</cp:lastModifiedBy>
  <cp:lastPrinted>2025-05-07T09:02:05Z</cp:lastPrinted>
  <dcterms:created xsi:type="dcterms:W3CDTF">2010-10-13T08:06:30Z</dcterms:created>
  <dcterms:modified xsi:type="dcterms:W3CDTF">2026-10-18T08:47:14Z</dcterms:modified>
</cp:coreProperties>
</file>