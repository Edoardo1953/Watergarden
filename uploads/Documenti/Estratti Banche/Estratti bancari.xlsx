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doardo\Desktop\"/>
    </mc:Choice>
  </mc:AlternateContent>
  <xr:revisionPtr revIDLastSave="0" documentId="8_{6A01627F-FD95-4CAD-A4C2-D982351F9CF4}" xr6:coauthVersionLast="47" xr6:coauthVersionMax="47" xr10:uidLastSave="{00000000-0000-0000-0000-000000000000}"/>
  <bookViews>
    <workbookView xWindow="-120" yWindow="-120" windowWidth="29040" windowHeight="15720" activeTab="1" xr2:uid="{9FD1DA42-8A96-4F6A-B7F9-2895EF6567D0}"/>
  </bookViews>
  <sheets>
    <sheet name="Revolut" sheetId="1" r:id="rId1"/>
    <sheet name="Olkypro Watergarden" sheetId="2" r:id="rId2"/>
  </sheets>
  <externalReferences>
    <externalReference r:id="rId3"/>
  </externalReferences>
  <definedNames>
    <definedName name="_xlnm._FilterDatabase" localSheetId="1" hidden="1">'Olkypro Watergarden'!$B$5:$H$6</definedName>
    <definedName name="_xlnm._FilterDatabase" localSheetId="0" hidden="1">Revolut!$B$5:$H$6</definedName>
    <definedName name="aaa" localSheetId="1">#REF!</definedName>
    <definedName name="aaa" localSheetId="0">#REF!</definedName>
    <definedName name="aaa">#REF!</definedName>
    <definedName name="Anniversaire" localSheetId="1">#REF!,#REF!,#REF!,#REF!</definedName>
    <definedName name="Anniversaire" localSheetId="0">#REF!,#REF!,#REF!,#REF!</definedName>
    <definedName name="Anniversaire">#REF!,#REF!,#REF!,#REF!</definedName>
    <definedName name="_xlnm.Print_Area" localSheetId="1">'Olkypro Watergarden'!#REF!</definedName>
    <definedName name="_xlnm.Print_Area" localSheetId="0">Revolut!#REF!</definedName>
    <definedName name="CAP1E" localSheetId="1">#REF!</definedName>
    <definedName name="CAP1E" localSheetId="0">#REF!</definedName>
    <definedName name="CAP1E">#REF!</definedName>
    <definedName name="CapitFIXE" localSheetId="1">#REF!</definedName>
    <definedName name="CapitFIXE" localSheetId="0">#REF!</definedName>
    <definedName name="CapitFIXE">#REF!</definedName>
    <definedName name="Changement_de_taux" localSheetId="1">#REF!</definedName>
    <definedName name="Changement_de_taux" localSheetId="0">#REF!</definedName>
    <definedName name="Changement_de_taux">#REF!</definedName>
    <definedName name="Cout_Total" localSheetId="1">#REF!</definedName>
    <definedName name="Cout_Total" localSheetId="0">#REF!</definedName>
    <definedName name="Cout_Total">#REF!</definedName>
    <definedName name="DATDB" localSheetId="1">#REF!</definedName>
    <definedName name="DATDB" localSheetId="0">#REF!</definedName>
    <definedName name="DATDB">#REF!</definedName>
    <definedName name="DebAmort" localSheetId="1">#REF!</definedName>
    <definedName name="DebAmort" localSheetId="0">#REF!</definedName>
    <definedName name="DebAmort">#REF!</definedName>
    <definedName name="Différé" localSheetId="1">#REF!</definedName>
    <definedName name="Différé" localSheetId="0">#REF!</definedName>
    <definedName name="Différé">#REF!</definedName>
    <definedName name="DiffSimple" localSheetId="1">#REF!</definedName>
    <definedName name="DiffSimple" localSheetId="0">#REF!</definedName>
    <definedName name="DiffSimple">#REF!</definedName>
    <definedName name="DiffTotal" localSheetId="1">#REF!</definedName>
    <definedName name="DiffTotal" localSheetId="0">#REF!</definedName>
    <definedName name="DiffTotal">#REF!</definedName>
    <definedName name="EchFIXE" localSheetId="1">#REF!</definedName>
    <definedName name="EchFIXE" localSheetId="0">#REF!</definedName>
    <definedName name="EchFIXE">#REF!</definedName>
    <definedName name="FraisF" localSheetId="1">#REF!</definedName>
    <definedName name="FraisF" localSheetId="0">#REF!</definedName>
    <definedName name="FraisF">#REF!</definedName>
    <definedName name="FraisV" localSheetId="1">#REF!</definedName>
    <definedName name="FraisV" localSheetId="0">#REF!</definedName>
    <definedName name="FraisV">#REF!</definedName>
    <definedName name="Ijour" localSheetId="1">#REF!</definedName>
    <definedName name="Ijour" localSheetId="0">#REF!</definedName>
    <definedName name="Ijour">#REF!</definedName>
    <definedName name="Imois" localSheetId="1">#REF!</definedName>
    <definedName name="Imois" localSheetId="0">#REF!</definedName>
    <definedName name="Imois">#REF!</definedName>
    <definedName name="INT1E" localSheetId="1">#REF!</definedName>
    <definedName name="INT1E" localSheetId="0">#REF!</definedName>
    <definedName name="INT1E">#REF!</definedName>
    <definedName name="Jour1" localSheetId="1">#REF!</definedName>
    <definedName name="Jour1" localSheetId="0">#REF!</definedName>
    <definedName name="Jour1">#REF!</definedName>
    <definedName name="Jour2" localSheetId="1">#REF!</definedName>
    <definedName name="Jour2" localSheetId="0">#REF!</definedName>
    <definedName name="Jour2">#REF!</definedName>
    <definedName name="MoisD" localSheetId="1">#REF!</definedName>
    <definedName name="MoisD" localSheetId="0">#REF!</definedName>
    <definedName name="MoisD">#REF!</definedName>
    <definedName name="MtEch" localSheetId="1">#REF!</definedName>
    <definedName name="MtEch" localSheetId="0">#REF!</definedName>
    <definedName name="MtEch">#REF!</definedName>
    <definedName name="MtEmprunt" localSheetId="1">#REF!</definedName>
    <definedName name="MtEmprunt" localSheetId="0">#REF!</definedName>
    <definedName name="MtEmprunt">#REF!</definedName>
    <definedName name="NbDeci" localSheetId="1">#REF!</definedName>
    <definedName name="NbDeci" localSheetId="0">#REF!</definedName>
    <definedName name="NbDeci">#REF!</definedName>
    <definedName name="NbEch" localSheetId="1">#REF!</definedName>
    <definedName name="NbEch" localSheetId="0">#REF!</definedName>
    <definedName name="NbEch">#REF!</definedName>
    <definedName name="NbEchAn" localSheetId="1">#REF!</definedName>
    <definedName name="NbEchAn" localSheetId="0">#REF!</definedName>
    <definedName name="NbEchAn">#REF!</definedName>
    <definedName name="NoEchMaxi" localSheetId="1">#REF!</definedName>
    <definedName name="NoEchMaxi" localSheetId="0">#REF!</definedName>
    <definedName name="NoEchMaxi">#REF!</definedName>
    <definedName name="NoEchRemb" localSheetId="1">#REF!</definedName>
    <definedName name="NoEchRemb" localSheetId="0">#REF!</definedName>
    <definedName name="NoEchRemb">#REF!</definedName>
    <definedName name="Nombre_échéances" localSheetId="1">#REF!</definedName>
    <definedName name="Nombre_échéances" localSheetId="0">#REF!</definedName>
    <definedName name="Nombre_échéances">#REF!</definedName>
    <definedName name="Periodicite" localSheetId="1">#REF!</definedName>
    <definedName name="Periodicite" localSheetId="0">#REF!</definedName>
    <definedName name="Periodicite">#REF!</definedName>
    <definedName name="RVDebit" localSheetId="1">#REF!</definedName>
    <definedName name="RVDebit" localSheetId="0">#REF!</definedName>
    <definedName name="RVDebit">#REF!</definedName>
    <definedName name="TauxActuariel" localSheetId="1">#REF!</definedName>
    <definedName name="TauxActuariel" localSheetId="0">#REF!</definedName>
    <definedName name="TauxActuariel">#REF!</definedName>
    <definedName name="Total_Capital" localSheetId="1">#REF!</definedName>
    <definedName name="Total_Capital" localSheetId="0">#REF!</definedName>
    <definedName name="Total_Capital">#REF!</definedName>
    <definedName name="Total_Frais" localSheetId="1">#REF!</definedName>
    <definedName name="Total_Frais" localSheetId="0">#REF!</definedName>
    <definedName name="Total_Frais">#REF!</definedName>
    <definedName name="Total_Intérêts" localSheetId="1">#REF!</definedName>
    <definedName name="Total_Intérêts" localSheetId="0">#REF!</definedName>
    <definedName name="Total_Intérêts">#REF!</definedName>
    <definedName name="TVDebit" localSheetId="1">#REF!</definedName>
    <definedName name="TVDebit" localSheetId="0">#REF!</definedName>
    <definedName name="TVDebit">#REF!</definedName>
    <definedName name="TxPer" localSheetId="1">#REF!</definedName>
    <definedName name="TxPer" localSheetId="0">#REF!</definedName>
    <definedName name="TxP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3" i="2" l="1"/>
  <c r="H182" i="2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8" i="2" s="1"/>
  <c r="B76" i="2" s="1"/>
  <c r="B77" i="2" s="1"/>
  <c r="B75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7" i="2"/>
  <c r="B8" i="2" s="1"/>
  <c r="B9" i="2" s="1"/>
  <c r="H6" i="2"/>
  <c r="H26" i="1"/>
  <c r="H25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7" i="1"/>
  <c r="H6" i="1"/>
  <c r="H7" i="1" s="1"/>
  <c r="B171" i="2" l="1"/>
  <c r="B173" i="2" s="1"/>
  <c r="B175" i="2" s="1"/>
  <c r="B177" i="2" s="1"/>
  <c r="B179" i="2" s="1"/>
  <c r="B181" i="2" s="1"/>
  <c r="B170" i="2"/>
  <c r="B172" i="2" s="1"/>
  <c r="B174" i="2" s="1"/>
  <c r="B176" i="2" s="1"/>
  <c r="B178" i="2" s="1"/>
  <c r="B180" i="2" s="1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27" i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184" i="2" l="1"/>
</calcChain>
</file>

<file path=xl/sharedStrings.xml><?xml version="1.0" encoding="utf-8"?>
<sst xmlns="http://schemas.openxmlformats.org/spreadsheetml/2006/main" count="221" uniqueCount="58">
  <si>
    <t>WATERGARDEN MANAGEMENT S.à.r.l.</t>
  </si>
  <si>
    <t>LT92 3250 0340 9644 5618</t>
  </si>
  <si>
    <t>EUR</t>
  </si>
  <si>
    <t>C/C Ordinario</t>
  </si>
  <si>
    <t>REVOLUT</t>
  </si>
  <si>
    <t>REVO LT21</t>
  </si>
  <si>
    <t>Nr</t>
  </si>
  <si>
    <t>Date Comptable</t>
  </si>
  <si>
    <t>Date Valeur</t>
  </si>
  <si>
    <t>Description</t>
  </si>
  <si>
    <t>Ordinante</t>
  </si>
  <si>
    <t>Total</t>
  </si>
  <si>
    <t>Solde</t>
  </si>
  <si>
    <t>Apertura conto</t>
  </si>
  <si>
    <t>Alimentazione conto (Edoardo Tubia)</t>
  </si>
  <si>
    <t>Spese bancarie</t>
  </si>
  <si>
    <t>Impot Fortune - Avances 2026</t>
  </si>
  <si>
    <t>LU54 6060 0020 0000 3393</t>
  </si>
  <si>
    <t>OLKY PRO</t>
  </si>
  <si>
    <t>OLKI LUL1 XXX</t>
  </si>
  <si>
    <t>Alimentazione conto (Giorgio Vignolle)</t>
  </si>
  <si>
    <t>Spese bancarie - dossier apertura conto</t>
  </si>
  <si>
    <t xml:space="preserve">Spese Notarili Baden Fattura 4039 </t>
  </si>
  <si>
    <t>Spese Notarili Baden Fattura 4036</t>
  </si>
  <si>
    <t>Spese Notarili Schaeffer Fattura 2200954</t>
  </si>
  <si>
    <t>Essedi Partners Fattura 2021681</t>
  </si>
  <si>
    <t>Extourne paiement</t>
  </si>
  <si>
    <t>Administration des Contributions</t>
  </si>
  <si>
    <t>Essedi Partners Fattura 2022424</t>
  </si>
  <si>
    <t>Chambre de Commerce</t>
  </si>
  <si>
    <t>Essedi Partners Fattura 2022603</t>
  </si>
  <si>
    <t>Capital Call 2022 - Vignolle Giorgio</t>
  </si>
  <si>
    <t>Capital Call 2022 - Murgia Jean-Pierre</t>
  </si>
  <si>
    <t>Capital Call 2022 - Tubia Enrico</t>
  </si>
  <si>
    <t>Capital Call 2022 - Tubia Edoardo</t>
  </si>
  <si>
    <t>Capital Call 2022 - Glenelg SA</t>
  </si>
  <si>
    <t>Capital Call 2022 - Alix Marylène</t>
  </si>
  <si>
    <t>Capital Call 2022 - Desiderio Salvatore</t>
  </si>
  <si>
    <t>Capital Call 2022 - Sterzi Marco</t>
  </si>
  <si>
    <t>Capital Call 2022 - Bosi Stéphane</t>
  </si>
  <si>
    <t>Capital Call 2022 - Canton Marco</t>
  </si>
  <si>
    <t>Capital Call 2022 - Belardi Alfonso</t>
  </si>
  <si>
    <t>Capital Call 2022 - Vandi Sergio</t>
  </si>
  <si>
    <t>Capital Call 2022 - Sterzi Adonella</t>
  </si>
  <si>
    <t>Remboursement Financement Personnel (Edoardo Tubia)</t>
  </si>
  <si>
    <t>Remboursement Financement Personnel (Giorgio Vignolle)</t>
  </si>
  <si>
    <t>Spese Notarili Baden Fattura 5964 del 20.12.2022</t>
  </si>
  <si>
    <t>Financement Personnel (Franco Toscano) favore Arcoiris</t>
  </si>
  <si>
    <t>Impot Fortune - Avances 2023</t>
  </si>
  <si>
    <t>Essedi Partners Fattura 2023471</t>
  </si>
  <si>
    <t>Essedi Partners Fattura 2023470</t>
  </si>
  <si>
    <t>Impot Fortune - Avances 2024</t>
  </si>
  <si>
    <t>Cadeaux à la Clientèle</t>
  </si>
  <si>
    <t>Impot Fortune - Avances 2025</t>
  </si>
  <si>
    <t>Essedi Partners Fattura 2025317</t>
  </si>
  <si>
    <t>Intêrets sur Impot Fortune - 2025</t>
  </si>
  <si>
    <t>Spese varie (Extrait RCS payé par Tubia Edoardo)</t>
  </si>
  <si>
    <t>Spese Legali Keyler Grasso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</si>
</sst>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8" fontId="0" fillId="0" borderId="0" xfId="0" applyNumberFormat="1"/>
    <xf numFmtId="8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8" fontId="1" fillId="0" borderId="2" xfId="0" applyNumberFormat="1" applyFont="1" applyBorder="1" applyAlignment="1">
      <alignment horizontal="center"/>
    </xf>
    <xf numFmtId="8" fontId="1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0" xfId="0" applyNumberFormat="1" applyAlignment="1">
      <alignment horizontal="center"/>
    </xf>
    <xf numFmtId="8" fontId="4" fillId="2" borderId="5" xfId="0" applyNumberFormat="1" applyFont="1" applyFill="1" applyBorder="1"/>
    <xf numFmtId="8" fontId="4" fillId="2" borderId="6" xfId="0" applyNumberFormat="1" applyFont="1" applyFill="1" applyBorder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8" fontId="1" fillId="2" borderId="2" xfId="0" applyNumberFormat="1" applyFont="1" applyFill="1" applyBorder="1"/>
    <xf numFmtId="8" fontId="1" fillId="2" borderId="7" xfId="0" applyNumberFormat="1" applyFont="1" applyFill="1" applyBorder="1"/>
    <xf numFmtId="0" fontId="0" fillId="0" borderId="8" xfId="0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4" fillId="0" borderId="9" xfId="0" applyFont="1" applyBorder="1"/>
    <xf numFmtId="0" fontId="0" fillId="0" borderId="9" xfId="0" applyBorder="1"/>
    <xf numFmtId="8" fontId="0" fillId="0" borderId="9" xfId="0" applyNumberFormat="1" applyBorder="1"/>
    <xf numFmtId="8" fontId="1" fillId="2" borderId="10" xfId="0" applyNumberFormat="1" applyFont="1" applyFill="1" applyBorder="1"/>
    <xf numFmtId="8" fontId="4" fillId="2" borderId="10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BRASILE%20-%20SPA%20ARCOIRIS\3%20-%20Movimento%20Financiero\DB%20Arcoiris-Watergarden.xlsx" TargetMode="External"/><Relationship Id="rId1" Type="http://schemas.openxmlformats.org/officeDocument/2006/relationships/externalLinkPath" Target="file:///E:\BRASILE%20-%20SPA%20ARCOIRIS\3%20-%20Movimento%20Financiero\DB%20Arcoiris-Watergard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mbi R$"/>
      <sheetName val="Cambi"/>
      <sheetName val="Cambi Mes"/>
      <sheetName val="Scheda apporti"/>
      <sheetName val="Apporti"/>
      <sheetName val="BIL"/>
      <sheetName val="PP"/>
      <sheetName val="Quote Watergarden"/>
      <sheetName val="Calcolatore"/>
      <sheetName val="Soci Watergarden 2023"/>
      <sheetName val="Advanced Expenses"/>
      <sheetName val="WAT-LRD"/>
      <sheetName val="DataBase"/>
      <sheetName val="Revolut"/>
      <sheetName val="Revolut pivot"/>
      <sheetName val="Olkypro Watergarden"/>
      <sheetName val="OlkyPro"/>
      <sheetName val="Dati Conto BR"/>
      <sheetName val="XXX"/>
      <sheetName val="OLD DataBase"/>
      <sheetName val="Conto LRD chiuso"/>
      <sheetName val="LRD chiuso"/>
      <sheetName val="Conto Watergarden chiuso"/>
      <sheetName val="Watergarden chiuso"/>
      <sheetName val="old DB ArcoIris"/>
      <sheetName val="Conto Arcoiris chiu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5083-F5EE-4C57-AE3C-CD1B93164216}">
  <dimension ref="B1:L27"/>
  <sheetViews>
    <sheetView workbookViewId="0">
      <pane ySplit="5" topLeftCell="A6" activePane="bottomLeft" state="frozen"/>
      <selection pane="bottomLeft" activeCell="F33" sqref="F33"/>
    </sheetView>
  </sheetViews>
  <sheetFormatPr defaultColWidth="9.140625" defaultRowHeight="12.75" x14ac:dyDescent="0.2"/>
  <cols>
    <col min="1" max="1" width="3.28515625" customWidth="1"/>
    <col min="2" max="2" width="5.28515625" style="1" customWidth="1"/>
    <col min="3" max="3" width="13.42578125" style="1" customWidth="1"/>
    <col min="4" max="4" width="12.28515625" style="1" customWidth="1"/>
    <col min="5" max="5" width="40.5703125" customWidth="1"/>
    <col min="6" max="6" width="17.5703125" customWidth="1"/>
    <col min="7" max="7" width="15.7109375" style="3" customWidth="1"/>
    <col min="8" max="8" width="16" style="4" customWidth="1"/>
    <col min="9" max="9" width="3.28515625" customWidth="1"/>
  </cols>
  <sheetData>
    <row r="1" spans="2:12" x14ac:dyDescent="0.2">
      <c r="F1" s="2"/>
    </row>
    <row r="2" spans="2:12" x14ac:dyDescent="0.2">
      <c r="E2" s="5" t="s">
        <v>0</v>
      </c>
      <c r="F2" s="6" t="s">
        <v>1</v>
      </c>
    </row>
    <row r="3" spans="2:12" x14ac:dyDescent="0.2">
      <c r="D3" s="7" t="s">
        <v>2</v>
      </c>
      <c r="E3" s="7" t="s">
        <v>3</v>
      </c>
      <c r="F3" s="5" t="s">
        <v>4</v>
      </c>
      <c r="G3" s="4" t="s">
        <v>5</v>
      </c>
    </row>
    <row r="4" spans="2:12" x14ac:dyDescent="0.2">
      <c r="E4" s="7"/>
      <c r="F4" s="5"/>
    </row>
    <row r="5" spans="2:12" s="2" customFormat="1" x14ac:dyDescent="0.2">
      <c r="B5" s="8" t="s">
        <v>6</v>
      </c>
      <c r="C5" s="9" t="s">
        <v>7</v>
      </c>
      <c r="D5" s="9" t="s">
        <v>8</v>
      </c>
      <c r="E5" s="10" t="s">
        <v>9</v>
      </c>
      <c r="F5" s="10" t="s">
        <v>10</v>
      </c>
      <c r="G5" s="11" t="s">
        <v>11</v>
      </c>
      <c r="H5" s="12" t="s">
        <v>12</v>
      </c>
    </row>
    <row r="6" spans="2:12" x14ac:dyDescent="0.2">
      <c r="B6" s="13">
        <v>1</v>
      </c>
      <c r="C6" s="14">
        <v>46091</v>
      </c>
      <c r="D6" s="14">
        <v>46091</v>
      </c>
      <c r="E6" t="s">
        <v>13</v>
      </c>
      <c r="G6" s="3">
        <v>0</v>
      </c>
      <c r="H6" s="15">
        <f>G6</f>
        <v>0</v>
      </c>
    </row>
    <row r="7" spans="2:12" x14ac:dyDescent="0.2">
      <c r="B7" s="13">
        <f>B6+1</f>
        <v>2</v>
      </c>
      <c r="C7" s="14">
        <v>46092</v>
      </c>
      <c r="D7" s="14">
        <v>46092</v>
      </c>
      <c r="E7" t="s">
        <v>14</v>
      </c>
      <c r="G7" s="3">
        <v>1000</v>
      </c>
      <c r="H7" s="16">
        <f>IF(G7="",".",H6+G7)</f>
        <v>1000</v>
      </c>
    </row>
    <row r="8" spans="2:12" x14ac:dyDescent="0.2">
      <c r="B8" s="13">
        <f t="shared" ref="B8:B24" si="0">B7+1</f>
        <v>3</v>
      </c>
      <c r="C8" s="14">
        <v>46092</v>
      </c>
      <c r="D8" s="14">
        <v>46092</v>
      </c>
      <c r="E8" s="17" t="s">
        <v>15</v>
      </c>
      <c r="G8" s="3">
        <v>-10</v>
      </c>
      <c r="H8" s="16">
        <f t="shared" ref="H8:H24" si="1">IF(G8="",".",H7+G8)</f>
        <v>990</v>
      </c>
    </row>
    <row r="9" spans="2:12" x14ac:dyDescent="0.2">
      <c r="B9" s="13">
        <f>B8+1</f>
        <v>4</v>
      </c>
      <c r="C9" s="14">
        <v>46094</v>
      </c>
      <c r="D9" s="14">
        <v>46094</v>
      </c>
      <c r="E9" t="s">
        <v>14</v>
      </c>
      <c r="G9" s="3">
        <v>1000</v>
      </c>
      <c r="H9" s="16">
        <f>IF(G9="",".",H8+G9)</f>
        <v>1990</v>
      </c>
    </row>
    <row r="10" spans="2:12" x14ac:dyDescent="0.2">
      <c r="B10" s="13">
        <f t="shared" si="0"/>
        <v>5</v>
      </c>
      <c r="C10" s="14">
        <v>46121</v>
      </c>
      <c r="D10" s="14">
        <v>46121</v>
      </c>
      <c r="E10" s="17" t="s">
        <v>15</v>
      </c>
      <c r="G10" s="3">
        <v>-10</v>
      </c>
      <c r="H10" s="16">
        <f t="shared" si="1"/>
        <v>1980</v>
      </c>
    </row>
    <row r="11" spans="2:12" x14ac:dyDescent="0.2">
      <c r="B11" s="13">
        <f t="shared" si="0"/>
        <v>6</v>
      </c>
      <c r="C11" s="14">
        <v>46121</v>
      </c>
      <c r="D11" s="14">
        <v>46121</v>
      </c>
      <c r="E11" s="17" t="s">
        <v>15</v>
      </c>
      <c r="F11" s="17"/>
      <c r="G11" s="3">
        <v>-16</v>
      </c>
      <c r="H11" s="16">
        <f t="shared" si="1"/>
        <v>1964</v>
      </c>
    </row>
    <row r="12" spans="2:12" x14ac:dyDescent="0.2">
      <c r="B12" s="13">
        <f t="shared" si="0"/>
        <v>7</v>
      </c>
      <c r="C12" s="14">
        <v>46151</v>
      </c>
      <c r="D12" s="14">
        <v>46151</v>
      </c>
      <c r="E12" s="17" t="s">
        <v>15</v>
      </c>
      <c r="G12" s="3">
        <v>-10</v>
      </c>
      <c r="H12" s="16">
        <f t="shared" si="1"/>
        <v>1954</v>
      </c>
    </row>
    <row r="13" spans="2:12" x14ac:dyDescent="0.2">
      <c r="B13" s="13">
        <f t="shared" si="0"/>
        <v>8</v>
      </c>
      <c r="C13" s="14">
        <v>46151</v>
      </c>
      <c r="D13" s="14">
        <v>46151</v>
      </c>
      <c r="E13" s="17" t="s">
        <v>15</v>
      </c>
      <c r="F13" s="17"/>
      <c r="G13" s="3">
        <v>-8</v>
      </c>
      <c r="H13" s="16">
        <f t="shared" si="1"/>
        <v>1946</v>
      </c>
    </row>
    <row r="14" spans="2:12" x14ac:dyDescent="0.2">
      <c r="B14" s="13">
        <f t="shared" si="0"/>
        <v>9</v>
      </c>
      <c r="C14" s="14">
        <v>46163</v>
      </c>
      <c r="D14" s="14">
        <v>46163</v>
      </c>
      <c r="E14" t="s">
        <v>16</v>
      </c>
      <c r="G14" s="3">
        <v>-1203.75</v>
      </c>
      <c r="H14" s="16">
        <f t="shared" si="1"/>
        <v>742.25</v>
      </c>
      <c r="L14" s="3"/>
    </row>
    <row r="15" spans="2:12" x14ac:dyDescent="0.2">
      <c r="B15" s="13">
        <f t="shared" si="0"/>
        <v>10</v>
      </c>
      <c r="C15" s="14">
        <v>46182</v>
      </c>
      <c r="D15" s="14">
        <v>46182</v>
      </c>
      <c r="E15" s="17" t="s">
        <v>15</v>
      </c>
      <c r="G15" s="3">
        <v>-10</v>
      </c>
      <c r="H15" s="16">
        <f t="shared" si="1"/>
        <v>732.25</v>
      </c>
    </row>
    <row r="16" spans="2:12" x14ac:dyDescent="0.2">
      <c r="B16" s="13">
        <f t="shared" si="0"/>
        <v>11</v>
      </c>
      <c r="C16" s="14">
        <v>46182</v>
      </c>
      <c r="D16" s="14">
        <v>46182</v>
      </c>
      <c r="E16" s="17" t="s">
        <v>15</v>
      </c>
      <c r="F16" s="17"/>
      <c r="G16" s="3">
        <v>-8</v>
      </c>
      <c r="H16" s="16">
        <f t="shared" si="1"/>
        <v>724.25</v>
      </c>
    </row>
    <row r="17" spans="2:8" x14ac:dyDescent="0.2">
      <c r="B17" s="13">
        <f t="shared" si="0"/>
        <v>12</v>
      </c>
      <c r="C17" s="14">
        <v>46212</v>
      </c>
      <c r="D17" s="14">
        <v>46212</v>
      </c>
      <c r="E17" s="17" t="s">
        <v>15</v>
      </c>
      <c r="G17" s="3">
        <v>-10</v>
      </c>
      <c r="H17" s="16">
        <f t="shared" si="1"/>
        <v>714.25</v>
      </c>
    </row>
    <row r="18" spans="2:8" x14ac:dyDescent="0.2">
      <c r="B18" s="13">
        <f t="shared" si="0"/>
        <v>13</v>
      </c>
      <c r="C18" s="14">
        <v>46212</v>
      </c>
      <c r="D18" s="14">
        <v>46212</v>
      </c>
      <c r="E18" s="17" t="s">
        <v>15</v>
      </c>
      <c r="F18" s="17"/>
      <c r="G18" s="3">
        <v>-8</v>
      </c>
      <c r="H18" s="16">
        <f t="shared" si="1"/>
        <v>706.25</v>
      </c>
    </row>
    <row r="19" spans="2:8" x14ac:dyDescent="0.2">
      <c r="B19" s="13">
        <f t="shared" si="0"/>
        <v>14</v>
      </c>
      <c r="C19" s="14">
        <v>46243</v>
      </c>
      <c r="D19" s="14">
        <v>46243</v>
      </c>
      <c r="E19" s="17" t="s">
        <v>15</v>
      </c>
      <c r="G19" s="3">
        <v>-10</v>
      </c>
      <c r="H19" s="16">
        <f t="shared" si="1"/>
        <v>696.25</v>
      </c>
    </row>
    <row r="20" spans="2:8" x14ac:dyDescent="0.2">
      <c r="B20" s="13">
        <f t="shared" si="0"/>
        <v>15</v>
      </c>
      <c r="C20" s="14">
        <v>46243</v>
      </c>
      <c r="D20" s="14">
        <v>46243</v>
      </c>
      <c r="E20" s="17" t="s">
        <v>15</v>
      </c>
      <c r="F20" s="17"/>
      <c r="G20" s="3">
        <v>-8</v>
      </c>
      <c r="H20" s="16">
        <f t="shared" si="1"/>
        <v>688.25</v>
      </c>
    </row>
    <row r="21" spans="2:8" x14ac:dyDescent="0.2">
      <c r="B21" s="13">
        <f t="shared" si="0"/>
        <v>16</v>
      </c>
      <c r="C21" s="14">
        <v>46274</v>
      </c>
      <c r="D21" s="14">
        <v>46274</v>
      </c>
      <c r="E21" s="17" t="s">
        <v>15</v>
      </c>
      <c r="G21" s="3">
        <v>-10</v>
      </c>
      <c r="H21" s="16">
        <f t="shared" si="1"/>
        <v>678.25</v>
      </c>
    </row>
    <row r="22" spans="2:8" x14ac:dyDescent="0.2">
      <c r="B22" s="13">
        <f t="shared" si="0"/>
        <v>17</v>
      </c>
      <c r="C22" s="14">
        <v>46274</v>
      </c>
      <c r="D22" s="14">
        <v>46274</v>
      </c>
      <c r="E22" s="17" t="s">
        <v>15</v>
      </c>
      <c r="F22" s="17"/>
      <c r="G22" s="3">
        <v>-8</v>
      </c>
      <c r="H22" s="16">
        <f t="shared" si="1"/>
        <v>670.25</v>
      </c>
    </row>
    <row r="23" spans="2:8" x14ac:dyDescent="0.2">
      <c r="B23" s="13">
        <f t="shared" si="0"/>
        <v>18</v>
      </c>
      <c r="C23" s="14">
        <v>46304</v>
      </c>
      <c r="D23" s="14">
        <v>46304</v>
      </c>
      <c r="E23" s="17" t="s">
        <v>15</v>
      </c>
      <c r="G23" s="3">
        <v>-10</v>
      </c>
      <c r="H23" s="16">
        <f t="shared" si="1"/>
        <v>660.25</v>
      </c>
    </row>
    <row r="24" spans="2:8" x14ac:dyDescent="0.2">
      <c r="B24" s="13">
        <f t="shared" si="0"/>
        <v>19</v>
      </c>
      <c r="C24" s="14">
        <v>46304</v>
      </c>
      <c r="D24" s="14">
        <v>46304</v>
      </c>
      <c r="E24" s="17" t="s">
        <v>15</v>
      </c>
      <c r="F24" s="17"/>
      <c r="G24" s="3">
        <v>-8</v>
      </c>
      <c r="H24" s="16">
        <f t="shared" si="1"/>
        <v>652.25</v>
      </c>
    </row>
    <row r="25" spans="2:8" x14ac:dyDescent="0.2">
      <c r="B25" s="13"/>
      <c r="C25" s="14"/>
      <c r="D25" s="14"/>
      <c r="E25" s="17"/>
      <c r="H25" s="16" t="str">
        <f>IF(G25="",".",H14+G25)</f>
        <v>.</v>
      </c>
    </row>
    <row r="26" spans="2:8" x14ac:dyDescent="0.2">
      <c r="B26" s="13"/>
      <c r="C26" s="14"/>
      <c r="D26" s="14"/>
      <c r="H26" s="16" t="str">
        <f>IF(G26="",".",H10+G26)</f>
        <v>.</v>
      </c>
    </row>
    <row r="27" spans="2:8" s="5" customFormat="1" x14ac:dyDescent="0.2">
      <c r="B27" s="18"/>
      <c r="C27" s="19"/>
      <c r="D27" s="19"/>
      <c r="E27" s="20"/>
      <c r="F27" s="20"/>
      <c r="G27" s="21"/>
      <c r="H27" s="22">
        <f>INDEX(H6:H144,COUNTIF(H6:H26,"&lt;&gt;."))</f>
        <v>652.25</v>
      </c>
    </row>
  </sheetData>
  <autoFilter ref="B5:H6" xr:uid="{00000000-0009-0000-0000-00000C000000}"/>
  <pageMargins left="0.78740157499999996" right="0.78740157499999996" top="0.984251969" bottom="0.984251969" header="0.4921259845" footer="0.4921259845"/>
  <pageSetup paperSize="9" orientation="landscape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2A07-2C50-4ECD-9922-82B0B4AA6149}">
  <dimension ref="B1:L184"/>
  <sheetViews>
    <sheetView tabSelected="1" workbookViewId="0">
      <pane ySplit="5" topLeftCell="A153" activePane="bottomLeft" state="frozen"/>
      <selection pane="bottomLeft" activeCell="J188" sqref="J188"/>
    </sheetView>
  </sheetViews>
  <sheetFormatPr defaultColWidth="9.140625" defaultRowHeight="12.75" x14ac:dyDescent="0.2"/>
  <cols>
    <col min="1" max="1" width="3.28515625" customWidth="1"/>
    <col min="2" max="2" width="5.28515625" style="1" customWidth="1"/>
    <col min="3" max="3" width="13.42578125" style="1" customWidth="1"/>
    <col min="4" max="4" width="12.28515625" style="1" customWidth="1"/>
    <col min="5" max="5" width="40.5703125" customWidth="1"/>
    <col min="6" max="6" width="17.5703125" customWidth="1"/>
    <col min="7" max="7" width="15.7109375" style="3" customWidth="1"/>
    <col min="8" max="8" width="16" style="4" customWidth="1"/>
    <col min="9" max="9" width="3.28515625" customWidth="1"/>
  </cols>
  <sheetData>
    <row r="1" spans="2:12" x14ac:dyDescent="0.2">
      <c r="F1" s="2"/>
    </row>
    <row r="2" spans="2:12" x14ac:dyDescent="0.2">
      <c r="E2" s="5" t="s">
        <v>0</v>
      </c>
      <c r="F2" s="6" t="s">
        <v>17</v>
      </c>
    </row>
    <row r="3" spans="2:12" x14ac:dyDescent="0.2">
      <c r="D3" s="7" t="s">
        <v>2</v>
      </c>
      <c r="E3" s="7" t="s">
        <v>3</v>
      </c>
      <c r="F3" s="5" t="s">
        <v>18</v>
      </c>
      <c r="G3" s="4" t="s">
        <v>19</v>
      </c>
    </row>
    <row r="4" spans="2:12" x14ac:dyDescent="0.2">
      <c r="E4" s="7"/>
      <c r="F4" s="5"/>
    </row>
    <row r="5" spans="2:12" s="2" customFormat="1" x14ac:dyDescent="0.2">
      <c r="B5" s="8" t="s">
        <v>6</v>
      </c>
      <c r="C5" s="9" t="s">
        <v>7</v>
      </c>
      <c r="D5" s="9" t="s">
        <v>8</v>
      </c>
      <c r="E5" s="10" t="s">
        <v>9</v>
      </c>
      <c r="F5" s="10" t="s">
        <v>10</v>
      </c>
      <c r="G5" s="11" t="s">
        <v>11</v>
      </c>
      <c r="H5" s="12" t="s">
        <v>12</v>
      </c>
    </row>
    <row r="6" spans="2:12" x14ac:dyDescent="0.2">
      <c r="B6" s="13">
        <v>1</v>
      </c>
      <c r="C6" s="14">
        <v>44358</v>
      </c>
      <c r="D6" s="14">
        <v>44358</v>
      </c>
      <c r="E6" t="s">
        <v>13</v>
      </c>
      <c r="G6" s="3">
        <v>0</v>
      </c>
      <c r="H6" s="15">
        <f>G6</f>
        <v>0</v>
      </c>
    </row>
    <row r="7" spans="2:12" x14ac:dyDescent="0.2">
      <c r="B7" s="13">
        <f>B6+1</f>
        <v>2</v>
      </c>
      <c r="C7" s="14">
        <v>44358</v>
      </c>
      <c r="D7" s="14">
        <v>44358</v>
      </c>
      <c r="E7" t="s">
        <v>20</v>
      </c>
      <c r="G7" s="3">
        <v>2000</v>
      </c>
      <c r="H7" s="16">
        <f>IF(G7="",".",H6+G7)</f>
        <v>2000</v>
      </c>
    </row>
    <row r="8" spans="2:12" x14ac:dyDescent="0.2">
      <c r="B8" s="13">
        <f t="shared" ref="B8:B46" si="0">B7+1</f>
        <v>3</v>
      </c>
      <c r="C8" s="14">
        <v>44399</v>
      </c>
      <c r="D8" s="14">
        <v>44399</v>
      </c>
      <c r="E8" s="17" t="s">
        <v>21</v>
      </c>
      <c r="G8" s="3">
        <v>-585</v>
      </c>
      <c r="H8" s="16">
        <f t="shared" ref="H8:H71" si="1">IF(G8="",".",H7+G8)</f>
        <v>1415</v>
      </c>
    </row>
    <row r="9" spans="2:12" x14ac:dyDescent="0.2">
      <c r="B9" s="13">
        <f t="shared" si="0"/>
        <v>4</v>
      </c>
      <c r="C9" s="14">
        <v>44440</v>
      </c>
      <c r="D9" s="14">
        <v>44440</v>
      </c>
      <c r="E9" s="17" t="s">
        <v>15</v>
      </c>
      <c r="G9" s="3">
        <v>-19.899999999999999</v>
      </c>
      <c r="H9" s="16">
        <f t="shared" si="1"/>
        <v>1395.1</v>
      </c>
    </row>
    <row r="10" spans="2:12" x14ac:dyDescent="0.2">
      <c r="B10" s="13">
        <f t="shared" si="0"/>
        <v>5</v>
      </c>
      <c r="C10" s="14">
        <v>44469</v>
      </c>
      <c r="D10" s="14">
        <v>44469</v>
      </c>
      <c r="E10" s="17" t="s">
        <v>15</v>
      </c>
      <c r="G10" s="3">
        <v>-41.75</v>
      </c>
      <c r="H10" s="16">
        <f t="shared" si="1"/>
        <v>1353.35</v>
      </c>
    </row>
    <row r="11" spans="2:12" x14ac:dyDescent="0.2">
      <c r="B11" s="13">
        <f t="shared" si="0"/>
        <v>6</v>
      </c>
      <c r="C11" s="14">
        <v>44470</v>
      </c>
      <c r="D11" s="14">
        <v>44470</v>
      </c>
      <c r="E11" s="17" t="s">
        <v>15</v>
      </c>
      <c r="F11" s="17"/>
      <c r="G11" s="3">
        <v>-19.899999999999999</v>
      </c>
      <c r="H11" s="16">
        <f t="shared" si="1"/>
        <v>1333.4499999999998</v>
      </c>
    </row>
    <row r="12" spans="2:12" x14ac:dyDescent="0.2">
      <c r="B12" s="13">
        <f t="shared" si="0"/>
        <v>7</v>
      </c>
      <c r="C12" s="14">
        <v>44501</v>
      </c>
      <c r="D12" s="14">
        <v>44501</v>
      </c>
      <c r="E12" s="17" t="s">
        <v>15</v>
      </c>
      <c r="G12" s="3">
        <v>-19.899999999999999</v>
      </c>
      <c r="H12" s="16">
        <f t="shared" si="1"/>
        <v>1313.5499999999997</v>
      </c>
    </row>
    <row r="13" spans="2:12" x14ac:dyDescent="0.2">
      <c r="B13" s="13">
        <f t="shared" si="0"/>
        <v>8</v>
      </c>
      <c r="C13" s="14">
        <v>44511</v>
      </c>
      <c r="D13" s="14">
        <v>44511</v>
      </c>
      <c r="E13" t="s">
        <v>14</v>
      </c>
      <c r="G13" s="3">
        <v>3000</v>
      </c>
      <c r="H13" s="16">
        <f t="shared" si="1"/>
        <v>4313.5499999999993</v>
      </c>
      <c r="L13" s="3"/>
    </row>
    <row r="14" spans="2:12" x14ac:dyDescent="0.2">
      <c r="B14" s="13">
        <f t="shared" si="0"/>
        <v>9</v>
      </c>
      <c r="C14" s="14">
        <v>44531</v>
      </c>
      <c r="D14" s="14">
        <v>44531</v>
      </c>
      <c r="E14" s="17" t="s">
        <v>15</v>
      </c>
      <c r="G14" s="3">
        <v>-19.899999999999999</v>
      </c>
      <c r="H14" s="16">
        <f t="shared" si="1"/>
        <v>4293.6499999999996</v>
      </c>
    </row>
    <row r="15" spans="2:12" x14ac:dyDescent="0.2">
      <c r="B15" s="23">
        <f t="shared" si="0"/>
        <v>10</v>
      </c>
      <c r="C15" s="24">
        <v>44561</v>
      </c>
      <c r="D15" s="24">
        <v>44561</v>
      </c>
      <c r="E15" s="25" t="s">
        <v>15</v>
      </c>
      <c r="F15" s="26"/>
      <c r="G15" s="27">
        <v>-45.84</v>
      </c>
      <c r="H15" s="28">
        <f t="shared" si="1"/>
        <v>4247.8099999999995</v>
      </c>
    </row>
    <row r="16" spans="2:12" x14ac:dyDescent="0.2">
      <c r="B16" s="13">
        <f t="shared" si="0"/>
        <v>11</v>
      </c>
      <c r="C16" s="14">
        <v>44564</v>
      </c>
      <c r="D16" s="14">
        <v>44564</v>
      </c>
      <c r="E16" s="17" t="s">
        <v>15</v>
      </c>
      <c r="G16" s="3">
        <v>-19.899999999999999</v>
      </c>
      <c r="H16" s="16">
        <f t="shared" si="1"/>
        <v>4227.91</v>
      </c>
    </row>
    <row r="17" spans="2:12" x14ac:dyDescent="0.2">
      <c r="B17" s="13">
        <f t="shared" si="0"/>
        <v>12</v>
      </c>
      <c r="C17" s="14">
        <v>44567</v>
      </c>
      <c r="D17" s="14">
        <v>44567</v>
      </c>
      <c r="E17" s="17" t="s">
        <v>22</v>
      </c>
      <c r="G17" s="3">
        <v>-3839.03</v>
      </c>
      <c r="H17" s="16">
        <f t="shared" si="1"/>
        <v>388.87999999999965</v>
      </c>
    </row>
    <row r="18" spans="2:12" x14ac:dyDescent="0.2">
      <c r="B18" s="13">
        <f t="shared" si="0"/>
        <v>13</v>
      </c>
      <c r="C18" s="14">
        <v>44567</v>
      </c>
      <c r="D18" s="14">
        <v>44567</v>
      </c>
      <c r="E18" t="s">
        <v>14</v>
      </c>
      <c r="G18" s="3">
        <v>2000</v>
      </c>
      <c r="H18" s="16">
        <f t="shared" si="1"/>
        <v>2388.8799999999997</v>
      </c>
      <c r="L18" s="3"/>
    </row>
    <row r="19" spans="2:12" x14ac:dyDescent="0.2">
      <c r="B19" s="13">
        <f t="shared" si="0"/>
        <v>14</v>
      </c>
      <c r="C19" s="14">
        <v>44572</v>
      </c>
      <c r="D19" s="14">
        <v>44572</v>
      </c>
      <c r="E19" s="17" t="s">
        <v>15</v>
      </c>
      <c r="G19" s="3">
        <v>-632</v>
      </c>
      <c r="H19" s="16">
        <f t="shared" si="1"/>
        <v>1756.8799999999997</v>
      </c>
    </row>
    <row r="20" spans="2:12" x14ac:dyDescent="0.2">
      <c r="B20" s="13">
        <f t="shared" si="0"/>
        <v>15</v>
      </c>
      <c r="C20" s="14">
        <v>44573</v>
      </c>
      <c r="D20" s="14">
        <v>44573</v>
      </c>
      <c r="E20" t="s">
        <v>14</v>
      </c>
      <c r="G20" s="3">
        <v>2000</v>
      </c>
      <c r="H20" s="16">
        <f t="shared" si="1"/>
        <v>3756.8799999999997</v>
      </c>
      <c r="L20" s="3"/>
    </row>
    <row r="21" spans="2:12" x14ac:dyDescent="0.2">
      <c r="B21" s="13">
        <f t="shared" si="0"/>
        <v>16</v>
      </c>
      <c r="C21" s="14">
        <v>44575</v>
      </c>
      <c r="D21" s="14">
        <v>44575</v>
      </c>
      <c r="E21" s="17" t="s">
        <v>23</v>
      </c>
      <c r="G21" s="3">
        <v>-1895.01</v>
      </c>
      <c r="H21" s="16">
        <f t="shared" si="1"/>
        <v>1861.8699999999997</v>
      </c>
      <c r="L21" s="3"/>
    </row>
    <row r="22" spans="2:12" x14ac:dyDescent="0.2">
      <c r="B22" s="13">
        <f t="shared" si="0"/>
        <v>17</v>
      </c>
      <c r="C22" s="14">
        <v>44593</v>
      </c>
      <c r="D22" s="14">
        <v>44593</v>
      </c>
      <c r="E22" s="17" t="s">
        <v>15</v>
      </c>
      <c r="G22" s="3">
        <v>-20.100000000000001</v>
      </c>
      <c r="H22" s="16">
        <f t="shared" si="1"/>
        <v>1841.7699999999998</v>
      </c>
    </row>
    <row r="23" spans="2:12" x14ac:dyDescent="0.2">
      <c r="B23" s="13">
        <f t="shared" si="0"/>
        <v>18</v>
      </c>
      <c r="C23" s="14">
        <v>44621</v>
      </c>
      <c r="D23" s="14">
        <v>44621</v>
      </c>
      <c r="E23" s="17" t="s">
        <v>15</v>
      </c>
      <c r="G23" s="3">
        <v>-19.899999999999999</v>
      </c>
      <c r="H23" s="16">
        <f t="shared" si="1"/>
        <v>1821.8699999999997</v>
      </c>
    </row>
    <row r="24" spans="2:12" x14ac:dyDescent="0.2">
      <c r="B24" s="13">
        <f t="shared" si="0"/>
        <v>19</v>
      </c>
      <c r="C24" s="14">
        <v>44627</v>
      </c>
      <c r="D24" s="14">
        <v>44627</v>
      </c>
      <c r="E24" s="17" t="s">
        <v>24</v>
      </c>
      <c r="G24" s="3">
        <v>-62.55</v>
      </c>
      <c r="H24" s="16">
        <f t="shared" si="1"/>
        <v>1759.3199999999997</v>
      </c>
      <c r="L24" s="3"/>
    </row>
    <row r="25" spans="2:12" x14ac:dyDescent="0.2">
      <c r="B25" s="13">
        <f t="shared" si="0"/>
        <v>20</v>
      </c>
      <c r="C25" s="14">
        <v>44651</v>
      </c>
      <c r="D25" s="14">
        <v>44651</v>
      </c>
      <c r="E25" s="17" t="s">
        <v>15</v>
      </c>
      <c r="G25" s="3">
        <v>-44.47</v>
      </c>
      <c r="H25" s="16">
        <f t="shared" si="1"/>
        <v>1714.8499999999997</v>
      </c>
    </row>
    <row r="26" spans="2:12" x14ac:dyDescent="0.2">
      <c r="B26" s="13">
        <f t="shared" si="0"/>
        <v>21</v>
      </c>
      <c r="C26" s="14">
        <v>44651</v>
      </c>
      <c r="D26" s="14">
        <v>44651</v>
      </c>
      <c r="E26" s="17" t="s">
        <v>15</v>
      </c>
      <c r="G26" s="3">
        <v>-0.2</v>
      </c>
      <c r="H26" s="16">
        <f t="shared" si="1"/>
        <v>1714.6499999999996</v>
      </c>
    </row>
    <row r="27" spans="2:12" x14ac:dyDescent="0.2">
      <c r="B27" s="13">
        <f t="shared" si="0"/>
        <v>22</v>
      </c>
      <c r="C27" s="14">
        <v>44652</v>
      </c>
      <c r="D27" s="14">
        <v>44652</v>
      </c>
      <c r="E27" s="17" t="s">
        <v>15</v>
      </c>
      <c r="G27" s="3">
        <v>-19.899999999999999</v>
      </c>
      <c r="H27" s="16">
        <f t="shared" si="1"/>
        <v>1694.7499999999995</v>
      </c>
    </row>
    <row r="28" spans="2:12" x14ac:dyDescent="0.2">
      <c r="B28" s="13">
        <f t="shared" si="0"/>
        <v>23</v>
      </c>
      <c r="C28" s="14">
        <v>44665</v>
      </c>
      <c r="D28" s="14">
        <v>44665</v>
      </c>
      <c r="E28" s="17" t="s">
        <v>25</v>
      </c>
      <c r="G28" s="3">
        <v>-221.13</v>
      </c>
      <c r="H28" s="16">
        <f t="shared" si="1"/>
        <v>1473.6199999999994</v>
      </c>
      <c r="L28" s="3"/>
    </row>
    <row r="29" spans="2:12" x14ac:dyDescent="0.2">
      <c r="B29" s="13">
        <f t="shared" si="0"/>
        <v>24</v>
      </c>
      <c r="C29" s="14">
        <v>44665</v>
      </c>
      <c r="D29" s="14">
        <v>44665</v>
      </c>
      <c r="E29" s="17" t="s">
        <v>26</v>
      </c>
      <c r="G29" s="3">
        <v>221.13</v>
      </c>
      <c r="H29" s="16">
        <f t="shared" si="1"/>
        <v>1694.7499999999995</v>
      </c>
      <c r="L29" s="3"/>
    </row>
    <row r="30" spans="2:12" x14ac:dyDescent="0.2">
      <c r="B30" s="13">
        <f t="shared" si="0"/>
        <v>25</v>
      </c>
      <c r="C30" s="14">
        <v>44670</v>
      </c>
      <c r="D30" s="14">
        <v>44670</v>
      </c>
      <c r="E30" s="17" t="s">
        <v>25</v>
      </c>
      <c r="G30" s="3">
        <v>-221.13</v>
      </c>
      <c r="H30" s="16">
        <f t="shared" si="1"/>
        <v>1473.6199999999994</v>
      </c>
      <c r="L30" s="3"/>
    </row>
    <row r="31" spans="2:12" x14ac:dyDescent="0.2">
      <c r="B31" s="13">
        <f t="shared" si="0"/>
        <v>26</v>
      </c>
      <c r="C31" s="14">
        <v>44671</v>
      </c>
      <c r="D31" s="14">
        <v>44671</v>
      </c>
      <c r="E31" t="s">
        <v>14</v>
      </c>
      <c r="G31" s="3">
        <v>3000</v>
      </c>
      <c r="H31" s="16">
        <f t="shared" si="1"/>
        <v>4473.619999999999</v>
      </c>
      <c r="L31" s="3"/>
    </row>
    <row r="32" spans="2:12" x14ac:dyDescent="0.2">
      <c r="B32" s="13">
        <f t="shared" si="0"/>
        <v>27</v>
      </c>
      <c r="C32" s="14">
        <v>44672</v>
      </c>
      <c r="D32" s="14">
        <v>44672</v>
      </c>
      <c r="E32" s="17" t="s">
        <v>27</v>
      </c>
      <c r="G32" s="3">
        <v>-2465.1</v>
      </c>
      <c r="H32" s="16">
        <f t="shared" si="1"/>
        <v>2008.5199999999991</v>
      </c>
      <c r="L32" s="3"/>
    </row>
    <row r="33" spans="2:12" x14ac:dyDescent="0.2">
      <c r="B33" s="13">
        <f t="shared" si="0"/>
        <v>28</v>
      </c>
      <c r="C33" s="14">
        <v>44683</v>
      </c>
      <c r="D33" s="14">
        <v>44683</v>
      </c>
      <c r="E33" s="17" t="s">
        <v>15</v>
      </c>
      <c r="G33" s="3">
        <v>-20.5</v>
      </c>
      <c r="H33" s="16">
        <f t="shared" si="1"/>
        <v>1988.0199999999991</v>
      </c>
    </row>
    <row r="34" spans="2:12" x14ac:dyDescent="0.2">
      <c r="B34" s="13">
        <f t="shared" si="0"/>
        <v>29</v>
      </c>
      <c r="C34" s="14">
        <v>44713</v>
      </c>
      <c r="D34" s="14">
        <v>44713</v>
      </c>
      <c r="E34" s="17" t="s">
        <v>15</v>
      </c>
      <c r="G34" s="3">
        <v>-19.899999999999999</v>
      </c>
      <c r="H34" s="16">
        <f t="shared" si="1"/>
        <v>1968.119999999999</v>
      </c>
    </row>
    <row r="35" spans="2:12" x14ac:dyDescent="0.2">
      <c r="B35" s="13">
        <f t="shared" si="0"/>
        <v>30</v>
      </c>
      <c r="C35" s="14">
        <v>44742</v>
      </c>
      <c r="D35" s="14">
        <v>44742</v>
      </c>
      <c r="E35" s="17" t="s">
        <v>15</v>
      </c>
      <c r="G35" s="3">
        <v>-44.32</v>
      </c>
      <c r="H35" s="16">
        <f t="shared" si="1"/>
        <v>1923.799999999999</v>
      </c>
    </row>
    <row r="36" spans="2:12" x14ac:dyDescent="0.2">
      <c r="B36" s="13">
        <f t="shared" si="0"/>
        <v>31</v>
      </c>
      <c r="C36" s="14">
        <v>44743</v>
      </c>
      <c r="D36" s="14">
        <v>44743</v>
      </c>
      <c r="E36" s="17" t="s">
        <v>15</v>
      </c>
      <c r="G36" s="3">
        <v>-19.899999999999999</v>
      </c>
      <c r="H36" s="16">
        <f t="shared" si="1"/>
        <v>1903.899999999999</v>
      </c>
    </row>
    <row r="37" spans="2:12" x14ac:dyDescent="0.2">
      <c r="B37" s="13">
        <f t="shared" si="0"/>
        <v>32</v>
      </c>
      <c r="C37" s="14">
        <v>44764</v>
      </c>
      <c r="D37" s="14">
        <v>44764</v>
      </c>
      <c r="E37" s="17" t="s">
        <v>27</v>
      </c>
      <c r="G37" s="3">
        <v>-1218.1500000000001</v>
      </c>
      <c r="H37" s="16">
        <f t="shared" si="1"/>
        <v>685.74999999999886</v>
      </c>
      <c r="L37" s="3"/>
    </row>
    <row r="38" spans="2:12" x14ac:dyDescent="0.2">
      <c r="B38" s="13">
        <f t="shared" si="0"/>
        <v>33</v>
      </c>
      <c r="C38" s="14">
        <v>44764</v>
      </c>
      <c r="D38" s="14">
        <v>44764</v>
      </c>
      <c r="E38" s="17" t="s">
        <v>28</v>
      </c>
      <c r="G38" s="3">
        <v>-103.55</v>
      </c>
      <c r="H38" s="16">
        <f t="shared" si="1"/>
        <v>582.19999999999891</v>
      </c>
      <c r="L38" s="3"/>
    </row>
    <row r="39" spans="2:12" x14ac:dyDescent="0.2">
      <c r="B39" s="13">
        <f t="shared" si="0"/>
        <v>34</v>
      </c>
      <c r="C39" s="14">
        <v>44764</v>
      </c>
      <c r="D39" s="14">
        <v>44764</v>
      </c>
      <c r="E39" s="17" t="s">
        <v>29</v>
      </c>
      <c r="G39" s="3">
        <v>-350</v>
      </c>
      <c r="H39" s="16">
        <f t="shared" si="1"/>
        <v>232.19999999999891</v>
      </c>
      <c r="L39" s="3"/>
    </row>
    <row r="40" spans="2:12" x14ac:dyDescent="0.2">
      <c r="B40" s="13">
        <f t="shared" si="0"/>
        <v>35</v>
      </c>
      <c r="C40" s="14">
        <v>44774</v>
      </c>
      <c r="D40" s="14">
        <v>44774</v>
      </c>
      <c r="E40" s="17" t="s">
        <v>15</v>
      </c>
      <c r="G40" s="3">
        <v>-20.5</v>
      </c>
      <c r="H40" s="16">
        <f t="shared" si="1"/>
        <v>211.69999999999891</v>
      </c>
    </row>
    <row r="41" spans="2:12" x14ac:dyDescent="0.2">
      <c r="B41" s="13">
        <f t="shared" si="0"/>
        <v>36</v>
      </c>
      <c r="C41" s="14">
        <v>44805</v>
      </c>
      <c r="D41" s="14">
        <v>44805</v>
      </c>
      <c r="E41" s="17" t="s">
        <v>15</v>
      </c>
      <c r="G41" s="3">
        <v>-19.899999999999999</v>
      </c>
      <c r="H41" s="16">
        <f t="shared" si="1"/>
        <v>191.7999999999989</v>
      </c>
    </row>
    <row r="42" spans="2:12" x14ac:dyDescent="0.2">
      <c r="B42" s="13">
        <f t="shared" si="0"/>
        <v>37</v>
      </c>
      <c r="C42" s="14">
        <v>44834</v>
      </c>
      <c r="D42" s="14">
        <v>44834</v>
      </c>
      <c r="E42" s="17" t="s">
        <v>15</v>
      </c>
      <c r="G42" s="3">
        <v>-40.630000000000003</v>
      </c>
      <c r="H42" s="16">
        <f t="shared" si="1"/>
        <v>151.16999999999891</v>
      </c>
    </row>
    <row r="43" spans="2:12" x14ac:dyDescent="0.2">
      <c r="B43" s="13">
        <f t="shared" si="0"/>
        <v>38</v>
      </c>
      <c r="C43" s="14">
        <v>44835</v>
      </c>
      <c r="D43" s="14">
        <v>44835</v>
      </c>
      <c r="E43" s="17" t="s">
        <v>15</v>
      </c>
      <c r="G43" s="3">
        <v>-19.899999999999999</v>
      </c>
      <c r="H43" s="16">
        <f t="shared" si="1"/>
        <v>131.2699999999989</v>
      </c>
    </row>
    <row r="44" spans="2:12" x14ac:dyDescent="0.2">
      <c r="B44" s="13">
        <f t="shared" si="0"/>
        <v>39</v>
      </c>
      <c r="C44" s="14">
        <v>44838</v>
      </c>
      <c r="D44" s="14">
        <v>44838</v>
      </c>
      <c r="E44" t="s">
        <v>14</v>
      </c>
      <c r="G44" s="3">
        <v>500</v>
      </c>
      <c r="H44" s="16">
        <f t="shared" si="1"/>
        <v>631.26999999999884</v>
      </c>
      <c r="L44" s="3"/>
    </row>
    <row r="45" spans="2:12" x14ac:dyDescent="0.2">
      <c r="B45" s="13">
        <f>B44+1</f>
        <v>40</v>
      </c>
      <c r="C45" s="14">
        <v>44841</v>
      </c>
      <c r="D45" s="14">
        <v>44841</v>
      </c>
      <c r="E45" s="17" t="s">
        <v>30</v>
      </c>
      <c r="G45" s="3">
        <v>-63.18</v>
      </c>
      <c r="H45" s="16">
        <f t="shared" si="1"/>
        <v>568.08999999999889</v>
      </c>
      <c r="L45" s="3"/>
    </row>
    <row r="46" spans="2:12" x14ac:dyDescent="0.2">
      <c r="B46" s="13">
        <f t="shared" si="0"/>
        <v>41</v>
      </c>
      <c r="C46" s="14">
        <v>44841</v>
      </c>
      <c r="D46" s="14">
        <v>44841</v>
      </c>
      <c r="E46" s="17" t="s">
        <v>27</v>
      </c>
      <c r="G46" s="3">
        <v>-7.2</v>
      </c>
      <c r="H46" s="16">
        <f t="shared" si="1"/>
        <v>560.88999999999885</v>
      </c>
      <c r="L46" s="3"/>
    </row>
    <row r="47" spans="2:12" x14ac:dyDescent="0.2">
      <c r="B47" s="13">
        <f>B46+1</f>
        <v>42</v>
      </c>
      <c r="C47" s="14">
        <v>44841</v>
      </c>
      <c r="D47" s="14">
        <v>44841</v>
      </c>
      <c r="E47" t="s">
        <v>14</v>
      </c>
      <c r="G47" s="3">
        <v>1000</v>
      </c>
      <c r="H47" s="16">
        <f t="shared" si="1"/>
        <v>1560.889999999999</v>
      </c>
      <c r="L47" s="3"/>
    </row>
    <row r="48" spans="2:12" x14ac:dyDescent="0.2">
      <c r="B48" s="13">
        <f>B47+1</f>
        <v>43</v>
      </c>
      <c r="C48" s="14">
        <v>44845</v>
      </c>
      <c r="D48" s="14">
        <v>44845</v>
      </c>
      <c r="E48" s="17" t="s">
        <v>27</v>
      </c>
      <c r="G48" s="3">
        <v>-1203.75</v>
      </c>
      <c r="H48" s="16">
        <f t="shared" si="1"/>
        <v>357.13999999999896</v>
      </c>
      <c r="L48" s="3"/>
    </row>
    <row r="49" spans="2:12" x14ac:dyDescent="0.2">
      <c r="B49" s="13">
        <f>B48+1</f>
        <v>44</v>
      </c>
      <c r="C49" s="14">
        <v>44859</v>
      </c>
      <c r="D49" s="14">
        <v>44859</v>
      </c>
      <c r="E49" t="s">
        <v>31</v>
      </c>
      <c r="G49" s="3">
        <v>5835.44</v>
      </c>
      <c r="H49" s="16">
        <f t="shared" si="1"/>
        <v>6192.5799999999981</v>
      </c>
      <c r="L49" s="3"/>
    </row>
    <row r="50" spans="2:12" x14ac:dyDescent="0.2">
      <c r="B50" s="13">
        <f>B49+1</f>
        <v>45</v>
      </c>
      <c r="C50" s="14">
        <v>44859</v>
      </c>
      <c r="D50" s="14">
        <v>44859</v>
      </c>
      <c r="E50" t="s">
        <v>32</v>
      </c>
      <c r="G50" s="3">
        <v>11670.88</v>
      </c>
      <c r="H50" s="16">
        <f t="shared" si="1"/>
        <v>17863.46</v>
      </c>
      <c r="L50" s="3"/>
    </row>
    <row r="51" spans="2:12" x14ac:dyDescent="0.2">
      <c r="B51" s="13">
        <f>B50+1</f>
        <v>46</v>
      </c>
      <c r="C51" s="14">
        <v>44865</v>
      </c>
      <c r="D51" s="14">
        <v>44865</v>
      </c>
      <c r="E51" t="s">
        <v>33</v>
      </c>
      <c r="G51" s="3">
        <v>11670.88</v>
      </c>
      <c r="H51" s="16">
        <f t="shared" si="1"/>
        <v>29534.339999999997</v>
      </c>
      <c r="L51" s="3"/>
    </row>
    <row r="52" spans="2:12" x14ac:dyDescent="0.2">
      <c r="B52" s="13">
        <f t="shared" ref="B52:B74" si="2">B51+1</f>
        <v>47</v>
      </c>
      <c r="C52" s="14">
        <v>44866</v>
      </c>
      <c r="D52" s="14">
        <v>44866</v>
      </c>
      <c r="E52" s="17" t="s">
        <v>15</v>
      </c>
      <c r="G52" s="3">
        <v>-20.5</v>
      </c>
      <c r="H52" s="16">
        <f t="shared" si="1"/>
        <v>29513.839999999997</v>
      </c>
    </row>
    <row r="53" spans="2:12" x14ac:dyDescent="0.2">
      <c r="B53" s="13">
        <f t="shared" si="2"/>
        <v>48</v>
      </c>
      <c r="C53" s="14">
        <v>44866</v>
      </c>
      <c r="D53" s="14">
        <v>44866</v>
      </c>
      <c r="E53" t="s">
        <v>34</v>
      </c>
      <c r="G53" s="3">
        <v>11670.88</v>
      </c>
      <c r="H53" s="16">
        <f t="shared" si="1"/>
        <v>41184.719999999994</v>
      </c>
      <c r="L53" s="3"/>
    </row>
    <row r="54" spans="2:12" x14ac:dyDescent="0.2">
      <c r="B54" s="13">
        <f t="shared" si="2"/>
        <v>49</v>
      </c>
      <c r="C54" s="14">
        <v>44867</v>
      </c>
      <c r="D54" s="14">
        <v>44867</v>
      </c>
      <c r="E54" t="s">
        <v>33</v>
      </c>
      <c r="G54" s="3">
        <v>5585.66</v>
      </c>
      <c r="H54" s="16">
        <f t="shared" si="1"/>
        <v>46770.37999999999</v>
      </c>
      <c r="L54" s="3"/>
    </row>
    <row r="55" spans="2:12" x14ac:dyDescent="0.2">
      <c r="B55" s="13">
        <f t="shared" si="2"/>
        <v>50</v>
      </c>
      <c r="C55" s="14">
        <v>44867</v>
      </c>
      <c r="D55" s="14">
        <v>44867</v>
      </c>
      <c r="E55" t="s">
        <v>35</v>
      </c>
      <c r="G55" s="3">
        <v>23349</v>
      </c>
      <c r="H55" s="16">
        <f t="shared" si="1"/>
        <v>70119.37999999999</v>
      </c>
      <c r="L55" s="3"/>
    </row>
    <row r="56" spans="2:12" x14ac:dyDescent="0.2">
      <c r="B56" s="13">
        <f t="shared" si="2"/>
        <v>51</v>
      </c>
      <c r="C56" s="14">
        <v>44868</v>
      </c>
      <c r="D56" s="14">
        <v>44868</v>
      </c>
      <c r="E56" t="s">
        <v>36</v>
      </c>
      <c r="G56" s="3">
        <v>5198.32</v>
      </c>
      <c r="H56" s="16">
        <f t="shared" si="1"/>
        <v>75317.699999999983</v>
      </c>
      <c r="L56" s="3"/>
    </row>
    <row r="57" spans="2:12" x14ac:dyDescent="0.2">
      <c r="B57" s="13">
        <f t="shared" si="2"/>
        <v>52</v>
      </c>
      <c r="C57" s="14">
        <v>44869</v>
      </c>
      <c r="D57" s="14">
        <v>44869</v>
      </c>
      <c r="E57" t="s">
        <v>37</v>
      </c>
      <c r="G57" s="3">
        <v>13918.9</v>
      </c>
      <c r="H57" s="16">
        <f t="shared" si="1"/>
        <v>89236.599999999977</v>
      </c>
      <c r="L57" s="3"/>
    </row>
    <row r="58" spans="2:12" x14ac:dyDescent="0.2">
      <c r="B58" s="13">
        <f t="shared" si="2"/>
        <v>53</v>
      </c>
      <c r="C58" s="14">
        <v>44869</v>
      </c>
      <c r="D58" s="14">
        <v>44869</v>
      </c>
      <c r="E58" t="s">
        <v>38</v>
      </c>
      <c r="G58" s="3">
        <v>5835.44</v>
      </c>
      <c r="H58" s="16">
        <f t="shared" si="1"/>
        <v>95072.039999999979</v>
      </c>
      <c r="L58" s="3"/>
    </row>
    <row r="59" spans="2:12" x14ac:dyDescent="0.2">
      <c r="B59" s="13">
        <f t="shared" si="2"/>
        <v>54</v>
      </c>
      <c r="C59" s="14">
        <v>44869</v>
      </c>
      <c r="D59" s="14">
        <v>44869</v>
      </c>
      <c r="E59" t="s">
        <v>39</v>
      </c>
      <c r="G59" s="3">
        <v>11670.88</v>
      </c>
      <c r="H59" s="16">
        <f t="shared" si="1"/>
        <v>106742.91999999998</v>
      </c>
      <c r="L59" s="3"/>
    </row>
    <row r="60" spans="2:12" x14ac:dyDescent="0.2">
      <c r="B60" s="13">
        <f t="shared" si="2"/>
        <v>55</v>
      </c>
      <c r="C60" s="14">
        <v>44869</v>
      </c>
      <c r="D60" s="14">
        <v>44869</v>
      </c>
      <c r="E60" t="s">
        <v>40</v>
      </c>
      <c r="G60" s="3">
        <v>11670.88</v>
      </c>
      <c r="H60" s="16">
        <f t="shared" si="1"/>
        <v>118413.79999999999</v>
      </c>
      <c r="L60" s="3"/>
    </row>
    <row r="61" spans="2:12" x14ac:dyDescent="0.2">
      <c r="B61" s="13">
        <f t="shared" si="2"/>
        <v>56</v>
      </c>
      <c r="C61" s="14">
        <v>44872</v>
      </c>
      <c r="D61" s="14">
        <v>44872</v>
      </c>
      <c r="E61" t="s">
        <v>41</v>
      </c>
      <c r="G61" s="3">
        <v>11670.88</v>
      </c>
      <c r="H61" s="16">
        <f t="shared" si="1"/>
        <v>130084.68</v>
      </c>
      <c r="L61" s="3"/>
    </row>
    <row r="62" spans="2:12" x14ac:dyDescent="0.2">
      <c r="B62" s="13">
        <f t="shared" si="2"/>
        <v>57</v>
      </c>
      <c r="C62" s="14">
        <v>44873</v>
      </c>
      <c r="D62" s="14">
        <v>44873</v>
      </c>
      <c r="E62" t="s">
        <v>42</v>
      </c>
      <c r="G62" s="3">
        <v>11670.88</v>
      </c>
      <c r="H62" s="16">
        <f t="shared" si="1"/>
        <v>141755.56</v>
      </c>
      <c r="L62" s="3"/>
    </row>
    <row r="63" spans="2:12" x14ac:dyDescent="0.2">
      <c r="B63" s="13">
        <f t="shared" si="2"/>
        <v>58</v>
      </c>
      <c r="C63" s="14">
        <v>44874</v>
      </c>
      <c r="D63" s="14">
        <v>44874</v>
      </c>
      <c r="E63" t="s">
        <v>43</v>
      </c>
      <c r="G63" s="3">
        <v>3102.34</v>
      </c>
      <c r="H63" s="16">
        <f t="shared" si="1"/>
        <v>144857.9</v>
      </c>
      <c r="L63" s="3"/>
    </row>
    <row r="64" spans="2:12" x14ac:dyDescent="0.2">
      <c r="B64" s="13">
        <f t="shared" si="2"/>
        <v>59</v>
      </c>
      <c r="C64" s="14">
        <v>44876</v>
      </c>
      <c r="D64" s="14">
        <v>44876</v>
      </c>
      <c r="E64" t="s">
        <v>38</v>
      </c>
      <c r="G64" s="3">
        <v>3102.34</v>
      </c>
      <c r="H64" s="16">
        <f t="shared" si="1"/>
        <v>147960.24</v>
      </c>
      <c r="L64" s="3"/>
    </row>
    <row r="65" spans="2:12" x14ac:dyDescent="0.2">
      <c r="B65" s="13">
        <f t="shared" si="2"/>
        <v>60</v>
      </c>
      <c r="C65" s="14">
        <v>44879</v>
      </c>
      <c r="D65" s="14">
        <v>44879</v>
      </c>
      <c r="E65" t="s">
        <v>42</v>
      </c>
      <c r="G65" s="3">
        <v>1165.6400000000001</v>
      </c>
      <c r="H65" s="16">
        <f t="shared" si="1"/>
        <v>149125.88</v>
      </c>
      <c r="L65" s="3"/>
    </row>
    <row r="66" spans="2:12" x14ac:dyDescent="0.2">
      <c r="B66" s="13">
        <f t="shared" si="2"/>
        <v>61</v>
      </c>
      <c r="C66" s="14">
        <v>44879</v>
      </c>
      <c r="D66" s="14">
        <v>44879</v>
      </c>
      <c r="E66" t="s">
        <v>31</v>
      </c>
      <c r="G66" s="3">
        <v>582.82000000000005</v>
      </c>
      <c r="H66" s="16">
        <f t="shared" si="1"/>
        <v>149708.70000000001</v>
      </c>
      <c r="L66" s="3"/>
    </row>
    <row r="67" spans="2:12" x14ac:dyDescent="0.2">
      <c r="B67" s="13">
        <f t="shared" si="2"/>
        <v>62</v>
      </c>
      <c r="C67" s="14">
        <v>44879</v>
      </c>
      <c r="D67" s="14">
        <v>44879</v>
      </c>
      <c r="E67" t="s">
        <v>36</v>
      </c>
      <c r="G67" s="3">
        <v>1411.8</v>
      </c>
      <c r="H67" s="16">
        <f t="shared" si="1"/>
        <v>151120.5</v>
      </c>
      <c r="L67" s="3"/>
    </row>
    <row r="68" spans="2:12" x14ac:dyDescent="0.2">
      <c r="B68" s="13">
        <f t="shared" si="2"/>
        <v>63</v>
      </c>
      <c r="C68" s="14">
        <v>44880</v>
      </c>
      <c r="D68" s="14">
        <v>44880</v>
      </c>
      <c r="E68" t="s">
        <v>39</v>
      </c>
      <c r="G68" s="3">
        <v>1165.6400000000001</v>
      </c>
      <c r="H68" s="16">
        <f t="shared" si="1"/>
        <v>152286.14000000001</v>
      </c>
      <c r="L68" s="3"/>
    </row>
    <row r="69" spans="2:12" x14ac:dyDescent="0.2">
      <c r="B69" s="13">
        <f t="shared" si="2"/>
        <v>64</v>
      </c>
      <c r="C69" s="14">
        <v>44880</v>
      </c>
      <c r="D69" s="14">
        <v>44880</v>
      </c>
      <c r="E69" t="s">
        <v>41</v>
      </c>
      <c r="G69" s="3">
        <v>1165.6400000000001</v>
      </c>
      <c r="H69" s="16">
        <f t="shared" si="1"/>
        <v>153451.78000000003</v>
      </c>
      <c r="L69" s="3"/>
    </row>
    <row r="70" spans="2:12" x14ac:dyDescent="0.2">
      <c r="B70" s="13">
        <f t="shared" si="2"/>
        <v>65</v>
      </c>
      <c r="C70" s="14">
        <v>44880</v>
      </c>
      <c r="D70" s="14">
        <v>44880</v>
      </c>
      <c r="E70" t="s">
        <v>32</v>
      </c>
      <c r="G70" s="3">
        <v>1165.6400000000001</v>
      </c>
      <c r="H70" s="16">
        <f t="shared" si="1"/>
        <v>154617.42000000004</v>
      </c>
      <c r="L70" s="3"/>
    </row>
    <row r="71" spans="2:12" x14ac:dyDescent="0.2">
      <c r="B71" s="13">
        <f t="shared" si="2"/>
        <v>66</v>
      </c>
      <c r="C71" s="14">
        <v>44880</v>
      </c>
      <c r="D71" s="14">
        <v>44880</v>
      </c>
      <c r="E71" t="s">
        <v>35</v>
      </c>
      <c r="G71" s="3">
        <v>2345.7600000000002</v>
      </c>
      <c r="H71" s="16">
        <f t="shared" si="1"/>
        <v>156963.18000000005</v>
      </c>
      <c r="L71" s="3"/>
    </row>
    <row r="72" spans="2:12" x14ac:dyDescent="0.2">
      <c r="B72" s="13">
        <f t="shared" si="2"/>
        <v>67</v>
      </c>
      <c r="C72" s="14">
        <v>44881</v>
      </c>
      <c r="D72" s="14">
        <v>44881</v>
      </c>
      <c r="E72" t="s">
        <v>38</v>
      </c>
      <c r="G72" s="3">
        <v>582.82000000000005</v>
      </c>
      <c r="H72" s="16">
        <f t="shared" ref="H72:H135" si="3">IF(G72="",".",H71+G72)</f>
        <v>157546.00000000006</v>
      </c>
      <c r="L72" s="3"/>
    </row>
    <row r="73" spans="2:12" x14ac:dyDescent="0.2">
      <c r="B73" s="13">
        <f t="shared" si="2"/>
        <v>68</v>
      </c>
      <c r="C73" s="14">
        <v>44881</v>
      </c>
      <c r="D73" s="14">
        <v>44881</v>
      </c>
      <c r="E73" t="s">
        <v>38</v>
      </c>
      <c r="G73" s="3">
        <v>839.84</v>
      </c>
      <c r="H73" s="16">
        <f t="shared" si="3"/>
        <v>158385.84000000005</v>
      </c>
      <c r="L73" s="3"/>
    </row>
    <row r="74" spans="2:12" x14ac:dyDescent="0.2">
      <c r="B74" s="13">
        <f t="shared" si="2"/>
        <v>69</v>
      </c>
      <c r="C74" s="14">
        <v>44881</v>
      </c>
      <c r="D74" s="14">
        <v>44881</v>
      </c>
      <c r="E74" t="s">
        <v>34</v>
      </c>
      <c r="G74" s="3">
        <v>1165.6400000000001</v>
      </c>
      <c r="H74" s="16">
        <f t="shared" si="3"/>
        <v>159551.48000000007</v>
      </c>
      <c r="L74" s="3"/>
    </row>
    <row r="75" spans="2:12" x14ac:dyDescent="0.2">
      <c r="B75" s="13">
        <f>B77+1</f>
        <v>73</v>
      </c>
      <c r="C75" s="14">
        <v>44882</v>
      </c>
      <c r="D75" s="14">
        <v>44882</v>
      </c>
      <c r="E75" t="s">
        <v>43</v>
      </c>
      <c r="G75" s="3">
        <v>839.84</v>
      </c>
      <c r="H75" s="16">
        <f t="shared" si="3"/>
        <v>160391.32000000007</v>
      </c>
      <c r="L75" s="3"/>
    </row>
    <row r="76" spans="2:12" x14ac:dyDescent="0.2">
      <c r="B76" s="13">
        <f>B78+1</f>
        <v>71</v>
      </c>
      <c r="C76" s="14">
        <v>44882</v>
      </c>
      <c r="D76" s="14">
        <v>44882</v>
      </c>
      <c r="E76" t="s">
        <v>33</v>
      </c>
      <c r="G76" s="3">
        <v>1165.6400000000001</v>
      </c>
      <c r="H76" s="16">
        <f t="shared" si="3"/>
        <v>161556.96000000008</v>
      </c>
      <c r="L76" s="3"/>
    </row>
    <row r="77" spans="2:12" x14ac:dyDescent="0.2">
      <c r="B77" s="13">
        <f>B76+1</f>
        <v>72</v>
      </c>
      <c r="C77" s="14">
        <v>44882</v>
      </c>
      <c r="D77" s="14">
        <v>44882</v>
      </c>
      <c r="E77" t="s">
        <v>33</v>
      </c>
      <c r="G77" s="3">
        <v>5292.44</v>
      </c>
      <c r="H77" s="16">
        <f t="shared" si="3"/>
        <v>166849.40000000008</v>
      </c>
      <c r="L77" s="3"/>
    </row>
    <row r="78" spans="2:12" x14ac:dyDescent="0.2">
      <c r="B78" s="13">
        <f>B74+1</f>
        <v>70</v>
      </c>
      <c r="C78" s="14">
        <v>44882</v>
      </c>
      <c r="D78" s="14">
        <v>44882</v>
      </c>
      <c r="E78" t="s">
        <v>40</v>
      </c>
      <c r="G78" s="3">
        <v>1165.6400000000001</v>
      </c>
      <c r="H78" s="16">
        <f t="shared" si="3"/>
        <v>168015.0400000001</v>
      </c>
      <c r="L78" s="3"/>
    </row>
    <row r="79" spans="2:12" x14ac:dyDescent="0.2">
      <c r="B79" s="13">
        <f>B75+1</f>
        <v>74</v>
      </c>
      <c r="C79" s="14">
        <v>44866</v>
      </c>
      <c r="D79" s="14">
        <v>44866</v>
      </c>
      <c r="E79" s="17" t="s">
        <v>15</v>
      </c>
      <c r="G79" s="3">
        <v>-19.899999999999999</v>
      </c>
      <c r="H79" s="16">
        <f t="shared" si="3"/>
        <v>167995.1400000001</v>
      </c>
    </row>
    <row r="80" spans="2:12" x14ac:dyDescent="0.2">
      <c r="B80" s="23">
        <f t="shared" ref="B80:B143" si="4">B79+1</f>
        <v>75</v>
      </c>
      <c r="C80" s="24">
        <v>44926</v>
      </c>
      <c r="D80" s="24">
        <v>44926</v>
      </c>
      <c r="E80" s="25" t="s">
        <v>15</v>
      </c>
      <c r="F80" s="26"/>
      <c r="G80" s="27">
        <v>-140.57</v>
      </c>
      <c r="H80" s="28">
        <f t="shared" si="3"/>
        <v>167854.57000000009</v>
      </c>
    </row>
    <row r="81" spans="2:12" x14ac:dyDescent="0.2">
      <c r="B81" s="13">
        <f t="shared" si="4"/>
        <v>76</v>
      </c>
      <c r="C81" s="14">
        <v>44928</v>
      </c>
      <c r="D81" s="14">
        <v>44928</v>
      </c>
      <c r="E81" s="17" t="s">
        <v>15</v>
      </c>
      <c r="G81" s="3">
        <v>-19.899999999999999</v>
      </c>
      <c r="H81" s="16">
        <f t="shared" si="3"/>
        <v>167834.6700000001</v>
      </c>
    </row>
    <row r="82" spans="2:12" x14ac:dyDescent="0.2">
      <c r="B82" s="13">
        <f t="shared" si="4"/>
        <v>77</v>
      </c>
      <c r="C82" s="14">
        <v>44928</v>
      </c>
      <c r="D82" s="14">
        <v>44928</v>
      </c>
      <c r="E82" t="s">
        <v>44</v>
      </c>
      <c r="G82" s="3">
        <v>-2925</v>
      </c>
      <c r="H82" s="16">
        <f t="shared" si="3"/>
        <v>164909.6700000001</v>
      </c>
      <c r="L82" s="3"/>
    </row>
    <row r="83" spans="2:12" x14ac:dyDescent="0.2">
      <c r="B83" s="13">
        <f t="shared" si="4"/>
        <v>78</v>
      </c>
      <c r="C83" s="14">
        <v>44928</v>
      </c>
      <c r="D83" s="14">
        <v>44928</v>
      </c>
      <c r="E83" t="s">
        <v>44</v>
      </c>
      <c r="G83" s="3">
        <v>-6673.84</v>
      </c>
      <c r="H83" s="16">
        <f t="shared" si="3"/>
        <v>158235.8300000001</v>
      </c>
      <c r="L83" s="3"/>
    </row>
    <row r="84" spans="2:12" x14ac:dyDescent="0.2">
      <c r="B84" s="13">
        <f t="shared" si="4"/>
        <v>79</v>
      </c>
      <c r="C84" s="14">
        <v>44928</v>
      </c>
      <c r="D84" s="14">
        <v>44928</v>
      </c>
      <c r="E84" t="s">
        <v>44</v>
      </c>
      <c r="G84" s="3">
        <v>-1203.75</v>
      </c>
      <c r="H84" s="16">
        <f t="shared" si="3"/>
        <v>157032.0800000001</v>
      </c>
      <c r="L84" s="3"/>
    </row>
    <row r="85" spans="2:12" x14ac:dyDescent="0.2">
      <c r="B85" s="13">
        <f t="shared" si="4"/>
        <v>80</v>
      </c>
      <c r="C85" s="14">
        <v>44928</v>
      </c>
      <c r="D85" s="14">
        <v>44928</v>
      </c>
      <c r="E85" t="s">
        <v>44</v>
      </c>
      <c r="G85" s="3">
        <v>-250</v>
      </c>
      <c r="H85" s="16">
        <f t="shared" si="3"/>
        <v>156782.0800000001</v>
      </c>
      <c r="L85" s="3"/>
    </row>
    <row r="86" spans="2:12" x14ac:dyDescent="0.2">
      <c r="B86" s="13">
        <f t="shared" si="4"/>
        <v>81</v>
      </c>
      <c r="C86" s="14">
        <v>44930</v>
      </c>
      <c r="D86" s="14">
        <v>44930</v>
      </c>
      <c r="E86" t="s">
        <v>45</v>
      </c>
      <c r="G86" s="3">
        <v>-257.57</v>
      </c>
      <c r="H86" s="16">
        <f t="shared" si="3"/>
        <v>156524.5100000001</v>
      </c>
      <c r="L86" s="3"/>
    </row>
    <row r="87" spans="2:12" x14ac:dyDescent="0.2">
      <c r="B87" s="13">
        <f t="shared" si="4"/>
        <v>82</v>
      </c>
      <c r="C87" s="14">
        <v>44930</v>
      </c>
      <c r="D87" s="14">
        <v>44930</v>
      </c>
      <c r="E87" t="s">
        <v>45</v>
      </c>
      <c r="G87" s="3">
        <v>-2000</v>
      </c>
      <c r="H87" s="16">
        <f t="shared" si="3"/>
        <v>154524.5100000001</v>
      </c>
      <c r="L87" s="3"/>
    </row>
    <row r="88" spans="2:12" x14ac:dyDescent="0.2">
      <c r="B88" s="13">
        <f t="shared" si="4"/>
        <v>83</v>
      </c>
      <c r="C88" s="14">
        <v>44930</v>
      </c>
      <c r="D88" s="14">
        <v>44930</v>
      </c>
      <c r="E88" s="17" t="s">
        <v>46</v>
      </c>
      <c r="G88" s="3">
        <v>-1376.06</v>
      </c>
      <c r="H88" s="16">
        <f t="shared" si="3"/>
        <v>153148.4500000001</v>
      </c>
    </row>
    <row r="89" spans="2:12" x14ac:dyDescent="0.2">
      <c r="B89" s="13">
        <f t="shared" si="4"/>
        <v>84</v>
      </c>
      <c r="C89" s="14">
        <v>44930</v>
      </c>
      <c r="D89" s="14">
        <v>44930</v>
      </c>
      <c r="E89" s="17" t="s">
        <v>15</v>
      </c>
      <c r="G89" s="3">
        <v>-105.2</v>
      </c>
      <c r="H89" s="16">
        <f t="shared" si="3"/>
        <v>153043.25000000009</v>
      </c>
    </row>
    <row r="90" spans="2:12" x14ac:dyDescent="0.2">
      <c r="B90" s="13">
        <f t="shared" si="4"/>
        <v>85</v>
      </c>
      <c r="C90" s="14">
        <v>44957</v>
      </c>
      <c r="D90" s="14">
        <v>44957</v>
      </c>
      <c r="E90" t="s">
        <v>47</v>
      </c>
      <c r="G90" s="3">
        <v>-50000</v>
      </c>
      <c r="H90" s="16">
        <f t="shared" si="3"/>
        <v>103043.25000000009</v>
      </c>
      <c r="L90" s="3"/>
    </row>
    <row r="91" spans="2:12" x14ac:dyDescent="0.2">
      <c r="B91" s="13">
        <f t="shared" si="4"/>
        <v>86</v>
      </c>
      <c r="C91" s="14">
        <v>44957</v>
      </c>
      <c r="D91" s="14">
        <v>44957</v>
      </c>
      <c r="E91" t="s">
        <v>47</v>
      </c>
      <c r="G91" s="3">
        <v>-40000</v>
      </c>
      <c r="H91" s="16">
        <f t="shared" si="3"/>
        <v>63043.250000000087</v>
      </c>
      <c r="L91" s="3"/>
    </row>
    <row r="92" spans="2:12" x14ac:dyDescent="0.2">
      <c r="B92" s="13">
        <f t="shared" si="4"/>
        <v>87</v>
      </c>
      <c r="C92" s="14">
        <v>44957</v>
      </c>
      <c r="D92" s="14">
        <v>44957</v>
      </c>
      <c r="E92" t="s">
        <v>44</v>
      </c>
      <c r="G92" s="3">
        <v>-11500</v>
      </c>
      <c r="H92" s="16">
        <f t="shared" si="3"/>
        <v>51543.250000000087</v>
      </c>
      <c r="L92" s="3"/>
    </row>
    <row r="93" spans="2:12" x14ac:dyDescent="0.2">
      <c r="B93" s="13">
        <f t="shared" si="4"/>
        <v>88</v>
      </c>
      <c r="C93" s="14">
        <v>44958</v>
      </c>
      <c r="D93" s="14">
        <v>44958</v>
      </c>
      <c r="E93" s="17" t="s">
        <v>15</v>
      </c>
      <c r="G93" s="3">
        <v>-21.1</v>
      </c>
      <c r="H93" s="16">
        <f t="shared" si="3"/>
        <v>51522.150000000089</v>
      </c>
    </row>
    <row r="94" spans="2:12" x14ac:dyDescent="0.2">
      <c r="B94" s="13">
        <f t="shared" si="4"/>
        <v>89</v>
      </c>
      <c r="C94" s="14">
        <v>44986</v>
      </c>
      <c r="D94" s="14">
        <v>44986</v>
      </c>
      <c r="E94" s="17" t="s">
        <v>15</v>
      </c>
      <c r="G94" s="3">
        <v>-19.899999999999999</v>
      </c>
      <c r="H94" s="16">
        <f t="shared" si="3"/>
        <v>51502.250000000087</v>
      </c>
    </row>
    <row r="95" spans="2:12" x14ac:dyDescent="0.2">
      <c r="B95" s="13">
        <f t="shared" si="4"/>
        <v>90</v>
      </c>
      <c r="C95" s="14">
        <v>45016</v>
      </c>
      <c r="D95" s="14">
        <v>45016</v>
      </c>
      <c r="E95" s="17" t="s">
        <v>15</v>
      </c>
      <c r="G95" s="3">
        <v>-40</v>
      </c>
      <c r="H95" s="16">
        <f t="shared" si="3"/>
        <v>51462.250000000087</v>
      </c>
    </row>
    <row r="96" spans="2:12" x14ac:dyDescent="0.2">
      <c r="B96" s="13">
        <f t="shared" si="4"/>
        <v>91</v>
      </c>
      <c r="C96" s="14">
        <v>45017</v>
      </c>
      <c r="D96" s="14">
        <v>45017</v>
      </c>
      <c r="E96" s="17" t="s">
        <v>15</v>
      </c>
      <c r="G96" s="3">
        <v>-19.899999999999999</v>
      </c>
      <c r="H96" s="16">
        <f t="shared" si="3"/>
        <v>51442.350000000086</v>
      </c>
    </row>
    <row r="97" spans="2:12" x14ac:dyDescent="0.2">
      <c r="B97" s="13">
        <f t="shared" si="4"/>
        <v>92</v>
      </c>
      <c r="C97" s="14">
        <v>45034</v>
      </c>
      <c r="D97" s="14">
        <v>45034</v>
      </c>
      <c r="E97" t="s">
        <v>48</v>
      </c>
      <c r="G97" s="3">
        <v>-1225.3499999999999</v>
      </c>
      <c r="H97" s="16">
        <f t="shared" si="3"/>
        <v>50217.000000000087</v>
      </c>
      <c r="L97" s="3"/>
    </row>
    <row r="98" spans="2:12" x14ac:dyDescent="0.2">
      <c r="B98" s="13">
        <f t="shared" si="4"/>
        <v>93</v>
      </c>
      <c r="C98" s="14">
        <v>45034</v>
      </c>
      <c r="D98" s="14">
        <v>45034</v>
      </c>
      <c r="E98" t="s">
        <v>48</v>
      </c>
      <c r="G98" s="3">
        <v>-3654.45</v>
      </c>
      <c r="H98" s="16">
        <f t="shared" si="3"/>
        <v>46562.55000000009</v>
      </c>
      <c r="L98" s="3"/>
    </row>
    <row r="99" spans="2:12" x14ac:dyDescent="0.2">
      <c r="B99" s="13">
        <f t="shared" si="4"/>
        <v>94</v>
      </c>
      <c r="C99" s="14">
        <v>45047</v>
      </c>
      <c r="D99" s="14">
        <v>45047</v>
      </c>
      <c r="E99" s="17" t="s">
        <v>15</v>
      </c>
      <c r="G99" s="3">
        <v>-20.3</v>
      </c>
      <c r="H99" s="16">
        <f t="shared" si="3"/>
        <v>46542.250000000087</v>
      </c>
    </row>
    <row r="100" spans="2:12" x14ac:dyDescent="0.2">
      <c r="B100" s="13">
        <f t="shared" si="4"/>
        <v>95</v>
      </c>
      <c r="C100" s="14">
        <v>45078</v>
      </c>
      <c r="D100" s="14">
        <v>45078</v>
      </c>
      <c r="E100" s="17" t="s">
        <v>15</v>
      </c>
      <c r="G100" s="3">
        <v>-19.899999999999999</v>
      </c>
      <c r="H100" s="16">
        <f t="shared" si="3"/>
        <v>46522.350000000086</v>
      </c>
    </row>
    <row r="101" spans="2:12" x14ac:dyDescent="0.2">
      <c r="B101" s="13">
        <f t="shared" si="4"/>
        <v>96</v>
      </c>
      <c r="C101" s="14">
        <v>45086</v>
      </c>
      <c r="D101" s="14">
        <v>45086</v>
      </c>
      <c r="E101" s="17" t="s">
        <v>49</v>
      </c>
      <c r="G101" s="3">
        <v>-1740</v>
      </c>
      <c r="H101" s="16">
        <f t="shared" si="3"/>
        <v>44782.350000000086</v>
      </c>
      <c r="L101" s="3"/>
    </row>
    <row r="102" spans="2:12" x14ac:dyDescent="0.2">
      <c r="B102" s="13">
        <f t="shared" si="4"/>
        <v>97</v>
      </c>
      <c r="C102" s="14">
        <v>45086</v>
      </c>
      <c r="D102" s="14">
        <v>45086</v>
      </c>
      <c r="E102" s="17" t="s">
        <v>50</v>
      </c>
      <c r="G102" s="3">
        <v>-6782.22</v>
      </c>
      <c r="H102" s="16">
        <f t="shared" si="3"/>
        <v>38000.130000000085</v>
      </c>
      <c r="L102" s="3"/>
    </row>
    <row r="103" spans="2:12" x14ac:dyDescent="0.2">
      <c r="B103" s="13">
        <f t="shared" si="4"/>
        <v>98</v>
      </c>
      <c r="C103" s="14">
        <v>45107</v>
      </c>
      <c r="D103" s="14">
        <v>45107</v>
      </c>
      <c r="E103" s="17" t="s">
        <v>15</v>
      </c>
      <c r="G103" s="3">
        <v>-0.4</v>
      </c>
      <c r="H103" s="16">
        <f t="shared" si="3"/>
        <v>37999.730000000083</v>
      </c>
    </row>
    <row r="104" spans="2:12" x14ac:dyDescent="0.2">
      <c r="B104" s="13">
        <f t="shared" si="4"/>
        <v>99</v>
      </c>
      <c r="C104" s="14">
        <v>45107</v>
      </c>
      <c r="D104" s="14">
        <v>45107</v>
      </c>
      <c r="E104" s="17" t="s">
        <v>15</v>
      </c>
      <c r="G104" s="3">
        <v>-40</v>
      </c>
      <c r="H104" s="16">
        <f t="shared" si="3"/>
        <v>37959.730000000083</v>
      </c>
    </row>
    <row r="105" spans="2:12" x14ac:dyDescent="0.2">
      <c r="B105" s="13">
        <f t="shared" si="4"/>
        <v>100</v>
      </c>
      <c r="C105" s="14">
        <v>45108</v>
      </c>
      <c r="D105" s="14">
        <v>45108</v>
      </c>
      <c r="E105" s="17" t="s">
        <v>15</v>
      </c>
      <c r="G105" s="3">
        <v>-19.899999999999999</v>
      </c>
      <c r="H105" s="16">
        <f t="shared" si="3"/>
        <v>37939.830000000082</v>
      </c>
    </row>
    <row r="106" spans="2:12" x14ac:dyDescent="0.2">
      <c r="B106" s="13">
        <f t="shared" si="4"/>
        <v>101</v>
      </c>
      <c r="C106" s="14">
        <v>45128</v>
      </c>
      <c r="D106" s="14">
        <v>45128</v>
      </c>
      <c r="E106" s="17" t="s">
        <v>29</v>
      </c>
      <c r="G106" s="3">
        <v>-350</v>
      </c>
      <c r="H106" s="16">
        <f t="shared" si="3"/>
        <v>37589.830000000082</v>
      </c>
      <c r="L106" s="3"/>
    </row>
    <row r="107" spans="2:12" x14ac:dyDescent="0.2">
      <c r="B107" s="13">
        <f t="shared" si="4"/>
        <v>102</v>
      </c>
      <c r="C107" s="14">
        <v>45139</v>
      </c>
      <c r="D107" s="14">
        <v>45139</v>
      </c>
      <c r="E107" s="17" t="s">
        <v>15</v>
      </c>
      <c r="G107" s="3">
        <v>-20.100000000000001</v>
      </c>
      <c r="H107" s="16">
        <f t="shared" si="3"/>
        <v>37569.730000000083</v>
      </c>
    </row>
    <row r="108" spans="2:12" x14ac:dyDescent="0.2">
      <c r="B108" s="13">
        <f t="shared" si="4"/>
        <v>103</v>
      </c>
      <c r="C108" s="14">
        <v>45170</v>
      </c>
      <c r="D108" s="14">
        <v>45170</v>
      </c>
      <c r="E108" s="17" t="s">
        <v>15</v>
      </c>
      <c r="G108" s="3">
        <v>-19.899999999999999</v>
      </c>
      <c r="H108" s="16">
        <f t="shared" si="3"/>
        <v>37549.830000000082</v>
      </c>
    </row>
    <row r="109" spans="2:12" x14ac:dyDescent="0.2">
      <c r="B109" s="13">
        <f t="shared" si="4"/>
        <v>104</v>
      </c>
      <c r="C109" s="14">
        <v>45201</v>
      </c>
      <c r="D109" s="14">
        <v>45201</v>
      </c>
      <c r="E109" s="17" t="s">
        <v>15</v>
      </c>
      <c r="G109" s="3">
        <v>-19.899999999999999</v>
      </c>
      <c r="H109" s="16">
        <f t="shared" si="3"/>
        <v>37529.93000000008</v>
      </c>
    </row>
    <row r="110" spans="2:12" x14ac:dyDescent="0.2">
      <c r="B110" s="13">
        <f t="shared" si="4"/>
        <v>105</v>
      </c>
      <c r="C110" s="14">
        <v>45202</v>
      </c>
      <c r="D110" s="14">
        <v>45202</v>
      </c>
      <c r="E110" s="17" t="s">
        <v>15</v>
      </c>
      <c r="G110" s="3">
        <v>-40</v>
      </c>
      <c r="H110" s="16">
        <f t="shared" si="3"/>
        <v>37489.93000000008</v>
      </c>
    </row>
    <row r="111" spans="2:12" x14ac:dyDescent="0.2">
      <c r="B111" s="13">
        <f t="shared" si="4"/>
        <v>106</v>
      </c>
      <c r="C111" s="14">
        <v>45223</v>
      </c>
      <c r="D111" s="14">
        <v>45223</v>
      </c>
      <c r="E111" t="s">
        <v>48</v>
      </c>
      <c r="G111" s="3">
        <v>43.2</v>
      </c>
      <c r="H111" s="16">
        <f t="shared" si="3"/>
        <v>37533.130000000077</v>
      </c>
      <c r="L111" s="3"/>
    </row>
    <row r="112" spans="2:12" x14ac:dyDescent="0.2">
      <c r="B112" s="13">
        <f t="shared" si="4"/>
        <v>107</v>
      </c>
      <c r="C112" s="14">
        <v>45231</v>
      </c>
      <c r="D112" s="14">
        <v>45231</v>
      </c>
      <c r="E112" s="17" t="s">
        <v>15</v>
      </c>
      <c r="G112" s="3">
        <v>-19.899999999999999</v>
      </c>
      <c r="H112" s="16">
        <f t="shared" si="3"/>
        <v>37513.230000000076</v>
      </c>
    </row>
    <row r="113" spans="2:12" x14ac:dyDescent="0.2">
      <c r="B113" s="23">
        <f t="shared" si="4"/>
        <v>108</v>
      </c>
      <c r="C113" s="24">
        <v>45261</v>
      </c>
      <c r="D113" s="24">
        <v>45261</v>
      </c>
      <c r="E113" s="25" t="s">
        <v>15</v>
      </c>
      <c r="F113" s="26"/>
      <c r="G113" s="27">
        <v>-19.899999999999999</v>
      </c>
      <c r="H113" s="29">
        <f t="shared" si="3"/>
        <v>37493.330000000075</v>
      </c>
    </row>
    <row r="114" spans="2:12" x14ac:dyDescent="0.2">
      <c r="B114" s="13">
        <f t="shared" si="4"/>
        <v>109</v>
      </c>
      <c r="C114" s="14">
        <v>45293</v>
      </c>
      <c r="D114" s="14">
        <v>45293</v>
      </c>
      <c r="E114" s="17" t="s">
        <v>15</v>
      </c>
      <c r="G114" s="3">
        <v>-19.899999999999999</v>
      </c>
      <c r="H114" s="16">
        <f t="shared" si="3"/>
        <v>37473.430000000073</v>
      </c>
    </row>
    <row r="115" spans="2:12" x14ac:dyDescent="0.2">
      <c r="B115" s="13">
        <f t="shared" si="4"/>
        <v>110</v>
      </c>
      <c r="C115" s="14">
        <v>45293</v>
      </c>
      <c r="D115" s="14">
        <v>45293</v>
      </c>
      <c r="E115" s="17" t="s">
        <v>15</v>
      </c>
      <c r="G115" s="3">
        <v>-40</v>
      </c>
      <c r="H115" s="16">
        <f t="shared" si="3"/>
        <v>37433.430000000073</v>
      </c>
    </row>
    <row r="116" spans="2:12" x14ac:dyDescent="0.2">
      <c r="B116" s="13">
        <f t="shared" si="4"/>
        <v>111</v>
      </c>
      <c r="C116" s="14">
        <v>45323</v>
      </c>
      <c r="D116" s="14">
        <v>45323</v>
      </c>
      <c r="E116" t="s">
        <v>51</v>
      </c>
      <c r="G116" s="3">
        <v>-1203.75</v>
      </c>
      <c r="H116" s="16">
        <f t="shared" si="3"/>
        <v>36229.680000000073</v>
      </c>
      <c r="L116" s="3"/>
    </row>
    <row r="117" spans="2:12" x14ac:dyDescent="0.2">
      <c r="B117" s="13">
        <f t="shared" si="4"/>
        <v>112</v>
      </c>
      <c r="C117" s="14">
        <v>45323</v>
      </c>
      <c r="D117" s="14">
        <v>45323</v>
      </c>
      <c r="E117" s="17" t="s">
        <v>15</v>
      </c>
      <c r="G117" s="3">
        <v>-19.899999999999999</v>
      </c>
      <c r="H117" s="16">
        <f t="shared" si="3"/>
        <v>36209.780000000072</v>
      </c>
    </row>
    <row r="118" spans="2:12" x14ac:dyDescent="0.2">
      <c r="B118" s="13">
        <f t="shared" si="4"/>
        <v>113</v>
      </c>
      <c r="C118" s="14">
        <v>45352</v>
      </c>
      <c r="D118" s="14">
        <v>45352</v>
      </c>
      <c r="E118" s="17" t="s">
        <v>15</v>
      </c>
      <c r="G118" s="3">
        <v>-20.100000000000001</v>
      </c>
      <c r="H118" s="16">
        <f t="shared" si="3"/>
        <v>36189.680000000073</v>
      </c>
    </row>
    <row r="119" spans="2:12" x14ac:dyDescent="0.2">
      <c r="B119" s="13">
        <f t="shared" si="4"/>
        <v>114</v>
      </c>
      <c r="C119" s="14">
        <v>45383</v>
      </c>
      <c r="D119" s="14">
        <v>45383</v>
      </c>
      <c r="E119" s="17" t="s">
        <v>15</v>
      </c>
      <c r="G119" s="3">
        <v>-19.899999999999999</v>
      </c>
      <c r="H119" s="16">
        <f t="shared" si="3"/>
        <v>36169.780000000072</v>
      </c>
    </row>
    <row r="120" spans="2:12" x14ac:dyDescent="0.2">
      <c r="B120" s="13">
        <f t="shared" si="4"/>
        <v>115</v>
      </c>
      <c r="C120" s="14">
        <v>45383</v>
      </c>
      <c r="D120" s="14">
        <v>45383</v>
      </c>
      <c r="E120" s="17" t="s">
        <v>15</v>
      </c>
      <c r="G120" s="3">
        <v>-111.03</v>
      </c>
      <c r="H120" s="16">
        <f t="shared" si="3"/>
        <v>36058.750000000073</v>
      </c>
    </row>
    <row r="121" spans="2:12" x14ac:dyDescent="0.2">
      <c r="B121" s="13">
        <f t="shared" si="4"/>
        <v>116</v>
      </c>
      <c r="C121" s="14">
        <v>45384</v>
      </c>
      <c r="D121" s="14">
        <v>45384</v>
      </c>
      <c r="E121" s="17" t="s">
        <v>15</v>
      </c>
      <c r="G121" s="3">
        <v>71.03</v>
      </c>
      <c r="H121" s="16">
        <f t="shared" si="3"/>
        <v>36129.780000000072</v>
      </c>
    </row>
    <row r="122" spans="2:12" x14ac:dyDescent="0.2">
      <c r="B122" s="13">
        <f t="shared" si="4"/>
        <v>117</v>
      </c>
      <c r="C122" s="14">
        <v>45413</v>
      </c>
      <c r="D122" s="14">
        <v>45413</v>
      </c>
      <c r="E122" s="17" t="s">
        <v>15</v>
      </c>
      <c r="G122" s="3">
        <v>-19.899999999999999</v>
      </c>
      <c r="H122" s="16">
        <f t="shared" si="3"/>
        <v>36109.88000000007</v>
      </c>
    </row>
    <row r="123" spans="2:12" x14ac:dyDescent="0.2">
      <c r="B123" s="13">
        <f t="shared" si="4"/>
        <v>118</v>
      </c>
      <c r="C123" s="14">
        <v>45413</v>
      </c>
      <c r="D123" s="14">
        <v>45413</v>
      </c>
      <c r="E123" t="s">
        <v>51</v>
      </c>
      <c r="G123" s="3">
        <v>-1203.75</v>
      </c>
      <c r="H123" s="16">
        <f t="shared" si="3"/>
        <v>34906.13000000007</v>
      </c>
      <c r="L123" s="3"/>
    </row>
    <row r="124" spans="2:12" x14ac:dyDescent="0.2">
      <c r="B124" s="13">
        <f t="shared" si="4"/>
        <v>119</v>
      </c>
      <c r="C124" s="14">
        <v>45444</v>
      </c>
      <c r="D124" s="14">
        <v>45444</v>
      </c>
      <c r="E124" s="17" t="s">
        <v>15</v>
      </c>
      <c r="G124" s="3">
        <v>-20.100000000000001</v>
      </c>
      <c r="H124" s="16">
        <f t="shared" si="3"/>
        <v>34886.030000000072</v>
      </c>
    </row>
    <row r="125" spans="2:12" x14ac:dyDescent="0.2">
      <c r="B125" s="13">
        <f t="shared" si="4"/>
        <v>120</v>
      </c>
      <c r="C125" s="14">
        <v>45474</v>
      </c>
      <c r="D125" s="14">
        <v>45474</v>
      </c>
      <c r="E125" s="17" t="s">
        <v>15</v>
      </c>
      <c r="G125" s="3">
        <v>-19.899999999999999</v>
      </c>
      <c r="H125" s="16">
        <f t="shared" si="3"/>
        <v>34866.13000000007</v>
      </c>
    </row>
    <row r="126" spans="2:12" x14ac:dyDescent="0.2">
      <c r="B126" s="13">
        <f t="shared" si="4"/>
        <v>121</v>
      </c>
      <c r="C126" s="14">
        <v>45474</v>
      </c>
      <c r="D126" s="14">
        <v>45474</v>
      </c>
      <c r="E126" s="17" t="s">
        <v>15</v>
      </c>
      <c r="G126" s="3">
        <v>-40</v>
      </c>
      <c r="H126" s="16">
        <f t="shared" si="3"/>
        <v>34826.13000000007</v>
      </c>
    </row>
    <row r="127" spans="2:12" x14ac:dyDescent="0.2">
      <c r="B127" s="13">
        <f t="shared" si="4"/>
        <v>122</v>
      </c>
      <c r="C127" s="14">
        <v>45490</v>
      </c>
      <c r="D127" s="14">
        <v>45490</v>
      </c>
      <c r="E127" s="17" t="s">
        <v>29</v>
      </c>
      <c r="G127" s="3">
        <v>-350</v>
      </c>
      <c r="H127" s="16">
        <f t="shared" si="3"/>
        <v>34476.13000000007</v>
      </c>
      <c r="L127" s="3"/>
    </row>
    <row r="128" spans="2:12" x14ac:dyDescent="0.2">
      <c r="B128" s="13">
        <f t="shared" si="4"/>
        <v>123</v>
      </c>
      <c r="C128" s="14">
        <v>45505</v>
      </c>
      <c r="D128" s="14">
        <v>45505</v>
      </c>
      <c r="E128" s="17" t="s">
        <v>15</v>
      </c>
      <c r="G128" s="3">
        <v>-20.100000000000001</v>
      </c>
      <c r="H128" s="16">
        <f t="shared" si="3"/>
        <v>34456.030000000072</v>
      </c>
    </row>
    <row r="129" spans="2:12" x14ac:dyDescent="0.2">
      <c r="B129" s="13">
        <f t="shared" si="4"/>
        <v>124</v>
      </c>
      <c r="C129" s="14">
        <v>45506</v>
      </c>
      <c r="D129" s="14">
        <v>45506</v>
      </c>
      <c r="E129" t="s">
        <v>51</v>
      </c>
      <c r="G129" s="3">
        <v>-1203.75</v>
      </c>
      <c r="H129" s="16">
        <f t="shared" si="3"/>
        <v>33252.280000000072</v>
      </c>
      <c r="L129" s="3"/>
    </row>
    <row r="130" spans="2:12" x14ac:dyDescent="0.2">
      <c r="B130" s="13">
        <f t="shared" si="4"/>
        <v>125</v>
      </c>
      <c r="C130" s="14">
        <v>45537</v>
      </c>
      <c r="D130" s="14">
        <v>45537</v>
      </c>
      <c r="E130" s="17" t="s">
        <v>15</v>
      </c>
      <c r="G130" s="3">
        <v>-20.100000000000001</v>
      </c>
      <c r="H130" s="16">
        <f t="shared" si="3"/>
        <v>33232.180000000073</v>
      </c>
    </row>
    <row r="131" spans="2:12" x14ac:dyDescent="0.2">
      <c r="B131" s="13">
        <f t="shared" si="4"/>
        <v>126</v>
      </c>
      <c r="C131" s="14">
        <v>45566</v>
      </c>
      <c r="D131" s="14">
        <v>45566</v>
      </c>
      <c r="E131" s="17" t="s">
        <v>15</v>
      </c>
      <c r="G131" s="3">
        <v>-19.899999999999999</v>
      </c>
      <c r="H131" s="16">
        <f t="shared" si="3"/>
        <v>33212.280000000072</v>
      </c>
    </row>
    <row r="132" spans="2:12" x14ac:dyDescent="0.2">
      <c r="B132" s="13">
        <f t="shared" si="4"/>
        <v>127</v>
      </c>
      <c r="C132" s="14">
        <v>45566</v>
      </c>
      <c r="D132" s="14">
        <v>45566</v>
      </c>
      <c r="E132" s="17" t="s">
        <v>15</v>
      </c>
      <c r="G132" s="3">
        <v>-40</v>
      </c>
      <c r="H132" s="16">
        <f t="shared" si="3"/>
        <v>33172.280000000072</v>
      </c>
    </row>
    <row r="133" spans="2:12" x14ac:dyDescent="0.2">
      <c r="B133" s="13">
        <f t="shared" si="4"/>
        <v>128</v>
      </c>
      <c r="C133" s="14">
        <v>45597</v>
      </c>
      <c r="D133" s="14">
        <v>45597</v>
      </c>
      <c r="E133" s="17" t="s">
        <v>15</v>
      </c>
      <c r="G133" s="3">
        <v>-19.899999999999999</v>
      </c>
      <c r="H133" s="16">
        <f t="shared" si="3"/>
        <v>33152.38000000007</v>
      </c>
    </row>
    <row r="134" spans="2:12" x14ac:dyDescent="0.2">
      <c r="B134" s="13">
        <f t="shared" si="4"/>
        <v>129</v>
      </c>
      <c r="C134" s="14">
        <v>45617</v>
      </c>
      <c r="D134" s="14">
        <v>45617</v>
      </c>
      <c r="E134" t="s">
        <v>51</v>
      </c>
      <c r="G134" s="3">
        <v>-1203.75</v>
      </c>
      <c r="H134" s="16">
        <f t="shared" si="3"/>
        <v>31948.63000000007</v>
      </c>
      <c r="L134" s="3"/>
    </row>
    <row r="135" spans="2:12" x14ac:dyDescent="0.2">
      <c r="B135" s="13">
        <f t="shared" si="4"/>
        <v>130</v>
      </c>
      <c r="C135" s="14">
        <v>45628</v>
      </c>
      <c r="D135" s="14">
        <v>45628</v>
      </c>
      <c r="E135" s="17" t="s">
        <v>15</v>
      </c>
      <c r="G135" s="3">
        <v>-20.100000000000001</v>
      </c>
      <c r="H135" s="16">
        <f t="shared" si="3"/>
        <v>31928.530000000072</v>
      </c>
    </row>
    <row r="136" spans="2:12" x14ac:dyDescent="0.2">
      <c r="B136" s="23">
        <f t="shared" si="4"/>
        <v>131</v>
      </c>
      <c r="C136" s="24">
        <v>45657</v>
      </c>
      <c r="D136" s="24">
        <v>45657</v>
      </c>
      <c r="E136" s="25" t="s">
        <v>15</v>
      </c>
      <c r="F136" s="26"/>
      <c r="G136" s="27">
        <v>-40</v>
      </c>
      <c r="H136" s="29">
        <f t="shared" ref="H136:H181" si="5">IF(G136="",".",H135+G136)</f>
        <v>31888.530000000072</v>
      </c>
    </row>
    <row r="137" spans="2:12" x14ac:dyDescent="0.2">
      <c r="B137" s="13">
        <f t="shared" si="4"/>
        <v>132</v>
      </c>
      <c r="C137" s="14">
        <v>45658</v>
      </c>
      <c r="D137" s="14">
        <v>45658</v>
      </c>
      <c r="E137" s="17" t="s">
        <v>15</v>
      </c>
      <c r="G137" s="3">
        <v>-19.899999999999999</v>
      </c>
      <c r="H137" s="16">
        <f t="shared" si="5"/>
        <v>31868.63000000007</v>
      </c>
    </row>
    <row r="138" spans="2:12" x14ac:dyDescent="0.2">
      <c r="B138" s="13">
        <f t="shared" si="4"/>
        <v>133</v>
      </c>
      <c r="C138" s="14">
        <v>45664</v>
      </c>
      <c r="D138" s="14">
        <v>45664</v>
      </c>
      <c r="E138" s="17" t="s">
        <v>52</v>
      </c>
      <c r="G138" s="3">
        <v>-250</v>
      </c>
      <c r="H138" s="16">
        <f t="shared" si="5"/>
        <v>31618.63000000007</v>
      </c>
    </row>
    <row r="139" spans="2:12" x14ac:dyDescent="0.2">
      <c r="B139" s="13">
        <f t="shared" si="4"/>
        <v>134</v>
      </c>
      <c r="C139" s="14">
        <v>45664</v>
      </c>
      <c r="D139" s="14">
        <v>45664</v>
      </c>
      <c r="E139" s="17" t="s">
        <v>52</v>
      </c>
      <c r="G139" s="3">
        <v>-100</v>
      </c>
      <c r="H139" s="16">
        <f t="shared" si="5"/>
        <v>31518.63000000007</v>
      </c>
    </row>
    <row r="140" spans="2:12" x14ac:dyDescent="0.2">
      <c r="B140" s="13">
        <f t="shared" si="4"/>
        <v>135</v>
      </c>
      <c r="C140" s="14">
        <v>45689</v>
      </c>
      <c r="D140" s="14">
        <v>45689</v>
      </c>
      <c r="E140" s="17" t="s">
        <v>15</v>
      </c>
      <c r="G140" s="3">
        <v>-20.3</v>
      </c>
      <c r="H140" s="16">
        <f t="shared" si="5"/>
        <v>31498.330000000071</v>
      </c>
    </row>
    <row r="141" spans="2:12" x14ac:dyDescent="0.2">
      <c r="B141" s="13">
        <f t="shared" si="4"/>
        <v>136</v>
      </c>
      <c r="C141" s="14">
        <v>45695</v>
      </c>
      <c r="D141" s="14">
        <v>45695</v>
      </c>
      <c r="E141" t="s">
        <v>53</v>
      </c>
      <c r="G141" s="3">
        <v>-1203.75</v>
      </c>
      <c r="H141" s="16">
        <f t="shared" si="5"/>
        <v>30294.580000000071</v>
      </c>
      <c r="L141" s="3"/>
    </row>
    <row r="142" spans="2:12" x14ac:dyDescent="0.2">
      <c r="B142" s="13">
        <f t="shared" si="4"/>
        <v>137</v>
      </c>
      <c r="C142" s="14">
        <v>45717</v>
      </c>
      <c r="D142" s="14">
        <v>45717</v>
      </c>
      <c r="E142" s="17" t="s">
        <v>15</v>
      </c>
      <c r="G142" s="3">
        <v>-20.100000000000001</v>
      </c>
      <c r="H142" s="16">
        <f t="shared" si="5"/>
        <v>30274.480000000072</v>
      </c>
    </row>
    <row r="143" spans="2:12" x14ac:dyDescent="0.2">
      <c r="B143" s="13">
        <f t="shared" si="4"/>
        <v>138</v>
      </c>
      <c r="C143" s="14">
        <v>45748</v>
      </c>
      <c r="D143" s="14">
        <v>45748</v>
      </c>
      <c r="E143" s="17" t="s">
        <v>15</v>
      </c>
      <c r="G143" s="3">
        <v>-19.899999999999999</v>
      </c>
      <c r="H143" s="16">
        <f t="shared" si="5"/>
        <v>30254.580000000071</v>
      </c>
    </row>
    <row r="144" spans="2:12" x14ac:dyDescent="0.2">
      <c r="B144" s="13">
        <f t="shared" ref="B144:B170" si="6">B143+1</f>
        <v>139</v>
      </c>
      <c r="C144" s="14">
        <v>45748</v>
      </c>
      <c r="D144" s="14">
        <v>45748</v>
      </c>
      <c r="E144" s="17" t="s">
        <v>15</v>
      </c>
      <c r="G144" s="3">
        <v>-40</v>
      </c>
      <c r="H144" s="16">
        <f t="shared" si="5"/>
        <v>30214.580000000071</v>
      </c>
    </row>
    <row r="145" spans="2:12" x14ac:dyDescent="0.2">
      <c r="B145" s="13">
        <f t="shared" si="6"/>
        <v>140</v>
      </c>
      <c r="C145" s="14">
        <v>45778</v>
      </c>
      <c r="D145" s="14">
        <v>45778</v>
      </c>
      <c r="E145" s="17" t="s">
        <v>15</v>
      </c>
      <c r="G145" s="3">
        <v>-19.899999999999999</v>
      </c>
      <c r="H145" s="16">
        <f t="shared" si="5"/>
        <v>30194.680000000069</v>
      </c>
    </row>
    <row r="146" spans="2:12" x14ac:dyDescent="0.2">
      <c r="B146" s="13">
        <f t="shared" si="6"/>
        <v>141</v>
      </c>
      <c r="C146" s="14">
        <v>45793</v>
      </c>
      <c r="D146" s="14">
        <v>45793</v>
      </c>
      <c r="E146" s="17" t="s">
        <v>54</v>
      </c>
      <c r="G146" s="3">
        <v>-6840.68</v>
      </c>
      <c r="H146" s="16">
        <f t="shared" si="5"/>
        <v>23354.000000000069</v>
      </c>
      <c r="L146" s="3"/>
    </row>
    <row r="147" spans="2:12" x14ac:dyDescent="0.2">
      <c r="B147" s="13">
        <f t="shared" si="6"/>
        <v>142</v>
      </c>
      <c r="C147" s="14">
        <v>45809</v>
      </c>
      <c r="D147" s="14">
        <v>45778</v>
      </c>
      <c r="E147" s="17" t="s">
        <v>15</v>
      </c>
      <c r="G147" s="3">
        <v>-23.72</v>
      </c>
      <c r="H147" s="16">
        <f t="shared" si="5"/>
        <v>23330.280000000068</v>
      </c>
    </row>
    <row r="148" spans="2:12" x14ac:dyDescent="0.2">
      <c r="B148" s="13">
        <f t="shared" si="6"/>
        <v>143</v>
      </c>
      <c r="C148" s="14">
        <v>45821</v>
      </c>
      <c r="D148" s="14">
        <v>45821</v>
      </c>
      <c r="E148" t="s">
        <v>53</v>
      </c>
      <c r="G148" s="3">
        <v>-1203.75</v>
      </c>
      <c r="H148" s="16">
        <f t="shared" si="5"/>
        <v>22126.530000000068</v>
      </c>
      <c r="L148" s="3"/>
    </row>
    <row r="149" spans="2:12" x14ac:dyDescent="0.2">
      <c r="B149" s="13">
        <f t="shared" si="6"/>
        <v>144</v>
      </c>
      <c r="C149" s="14">
        <v>45839</v>
      </c>
      <c r="D149" s="14">
        <v>45839</v>
      </c>
      <c r="E149" s="17" t="s">
        <v>15</v>
      </c>
      <c r="G149" s="3">
        <v>-40</v>
      </c>
      <c r="H149" s="16">
        <f t="shared" si="5"/>
        <v>22086.530000000068</v>
      </c>
    </row>
    <row r="150" spans="2:12" x14ac:dyDescent="0.2">
      <c r="B150" s="13">
        <f t="shared" si="6"/>
        <v>145</v>
      </c>
      <c r="C150" s="14">
        <v>45839</v>
      </c>
      <c r="D150" s="14">
        <v>45839</v>
      </c>
      <c r="E150" s="17" t="s">
        <v>15</v>
      </c>
      <c r="G150" s="3">
        <v>-20.9</v>
      </c>
      <c r="H150" s="16">
        <f t="shared" si="5"/>
        <v>22065.630000000067</v>
      </c>
    </row>
    <row r="151" spans="2:12" x14ac:dyDescent="0.2">
      <c r="B151" s="13">
        <f t="shared" si="6"/>
        <v>146</v>
      </c>
      <c r="C151" s="14">
        <v>45855</v>
      </c>
      <c r="D151" s="14">
        <v>45855</v>
      </c>
      <c r="E151" s="17" t="s">
        <v>29</v>
      </c>
      <c r="G151" s="3">
        <v>-350</v>
      </c>
      <c r="H151" s="16">
        <f t="shared" si="5"/>
        <v>21715.630000000067</v>
      </c>
      <c r="L151" s="3"/>
    </row>
    <row r="152" spans="2:12" x14ac:dyDescent="0.2">
      <c r="B152" s="13">
        <f t="shared" si="6"/>
        <v>147</v>
      </c>
      <c r="C152" s="14">
        <v>45860</v>
      </c>
      <c r="D152" s="14">
        <v>45860</v>
      </c>
      <c r="E152" t="s">
        <v>53</v>
      </c>
      <c r="G152" s="3">
        <v>-1203.75</v>
      </c>
      <c r="H152" s="16">
        <f t="shared" si="5"/>
        <v>20511.880000000067</v>
      </c>
      <c r="L152" s="3"/>
    </row>
    <row r="153" spans="2:12" x14ac:dyDescent="0.2">
      <c r="B153" s="13">
        <f t="shared" si="6"/>
        <v>148</v>
      </c>
      <c r="C153" s="14">
        <v>45870</v>
      </c>
      <c r="D153" s="14">
        <v>45870</v>
      </c>
      <c r="E153" s="17" t="s">
        <v>15</v>
      </c>
      <c r="G153" s="3">
        <v>-21.48</v>
      </c>
      <c r="H153" s="16">
        <f t="shared" si="5"/>
        <v>20490.400000000067</v>
      </c>
    </row>
    <row r="154" spans="2:12" x14ac:dyDescent="0.2">
      <c r="B154" s="13">
        <f t="shared" si="6"/>
        <v>149</v>
      </c>
      <c r="C154" s="14">
        <v>45890</v>
      </c>
      <c r="D154" s="14">
        <v>45890</v>
      </c>
      <c r="E154" t="s">
        <v>53</v>
      </c>
      <c r="G154" s="3">
        <v>-1203.75</v>
      </c>
      <c r="H154" s="16">
        <f t="shared" si="5"/>
        <v>19286.650000000067</v>
      </c>
      <c r="L154" s="3"/>
    </row>
    <row r="155" spans="2:12" x14ac:dyDescent="0.2">
      <c r="B155" s="13">
        <f t="shared" si="6"/>
        <v>150</v>
      </c>
      <c r="C155" s="14">
        <v>45890</v>
      </c>
      <c r="D155" s="14">
        <v>45890</v>
      </c>
      <c r="E155" t="s">
        <v>55</v>
      </c>
      <c r="G155" s="3">
        <v>-7.2</v>
      </c>
      <c r="H155" s="16">
        <f t="shared" si="5"/>
        <v>19279.450000000066</v>
      </c>
      <c r="L155" s="3"/>
    </row>
    <row r="156" spans="2:12" x14ac:dyDescent="0.2">
      <c r="B156" s="13">
        <f t="shared" si="6"/>
        <v>151</v>
      </c>
      <c r="C156" s="14">
        <v>45901</v>
      </c>
      <c r="D156" s="14">
        <v>45901</v>
      </c>
      <c r="E156" s="17" t="s">
        <v>15</v>
      </c>
      <c r="G156" s="3">
        <v>-20.91</v>
      </c>
      <c r="H156" s="16">
        <f t="shared" si="5"/>
        <v>19258.540000000066</v>
      </c>
    </row>
    <row r="157" spans="2:12" x14ac:dyDescent="0.2">
      <c r="B157" s="13">
        <f t="shared" si="6"/>
        <v>152</v>
      </c>
      <c r="C157" s="14">
        <v>45931</v>
      </c>
      <c r="D157" s="14">
        <v>45931</v>
      </c>
      <c r="E157" s="17" t="s">
        <v>15</v>
      </c>
      <c r="G157" s="3">
        <v>-19.899999999999999</v>
      </c>
      <c r="H157" s="16">
        <f t="shared" si="5"/>
        <v>19238.640000000065</v>
      </c>
    </row>
    <row r="158" spans="2:12" x14ac:dyDescent="0.2">
      <c r="B158" s="13">
        <f t="shared" si="6"/>
        <v>153</v>
      </c>
      <c r="C158" s="14">
        <v>45962</v>
      </c>
      <c r="D158" s="14">
        <v>45962</v>
      </c>
      <c r="E158" s="17" t="s">
        <v>15</v>
      </c>
      <c r="G158" s="3">
        <v>-19.899999999999999</v>
      </c>
      <c r="H158" s="16">
        <f t="shared" si="5"/>
        <v>19218.740000000063</v>
      </c>
    </row>
    <row r="159" spans="2:12" x14ac:dyDescent="0.2">
      <c r="B159" s="13">
        <f t="shared" si="6"/>
        <v>154</v>
      </c>
      <c r="C159" s="14">
        <v>45964</v>
      </c>
      <c r="D159" s="14">
        <v>45964</v>
      </c>
      <c r="E159" t="s">
        <v>53</v>
      </c>
      <c r="G159" s="3">
        <v>-1203.75</v>
      </c>
      <c r="H159" s="16">
        <f t="shared" si="5"/>
        <v>18014.990000000063</v>
      </c>
      <c r="L159" s="3"/>
    </row>
    <row r="160" spans="2:12" x14ac:dyDescent="0.2">
      <c r="B160" s="13">
        <f t="shared" si="6"/>
        <v>155</v>
      </c>
      <c r="C160" s="14">
        <v>45975</v>
      </c>
      <c r="D160" s="14">
        <v>45975</v>
      </c>
      <c r="E160" t="s">
        <v>53</v>
      </c>
      <c r="G160" s="3">
        <v>1203.75</v>
      </c>
      <c r="H160" s="16">
        <f t="shared" si="5"/>
        <v>19218.740000000063</v>
      </c>
      <c r="L160" s="3"/>
    </row>
    <row r="161" spans="2:12" x14ac:dyDescent="0.2">
      <c r="B161" s="13">
        <f t="shared" si="6"/>
        <v>156</v>
      </c>
      <c r="C161" s="14">
        <v>45992</v>
      </c>
      <c r="D161" s="14">
        <v>45992</v>
      </c>
      <c r="E161" s="17" t="s">
        <v>15</v>
      </c>
      <c r="G161" s="3">
        <v>-20.9</v>
      </c>
      <c r="H161" s="16">
        <f t="shared" si="5"/>
        <v>19197.840000000062</v>
      </c>
    </row>
    <row r="162" spans="2:12" x14ac:dyDescent="0.2">
      <c r="B162" s="23">
        <f t="shared" si="6"/>
        <v>157</v>
      </c>
      <c r="C162" s="24">
        <v>46022</v>
      </c>
      <c r="D162" s="24">
        <v>46022</v>
      </c>
      <c r="E162" s="25" t="s">
        <v>15</v>
      </c>
      <c r="F162" s="26"/>
      <c r="G162" s="27">
        <v>-40.96</v>
      </c>
      <c r="H162" s="29">
        <f t="shared" si="5"/>
        <v>19156.880000000063</v>
      </c>
    </row>
    <row r="163" spans="2:12" x14ac:dyDescent="0.2">
      <c r="B163" s="13">
        <f t="shared" si="6"/>
        <v>158</v>
      </c>
      <c r="C163" s="14">
        <v>46023</v>
      </c>
      <c r="D163" s="14">
        <v>46023</v>
      </c>
      <c r="E163" s="17" t="s">
        <v>15</v>
      </c>
      <c r="G163" s="3">
        <v>-19.899999999999999</v>
      </c>
      <c r="H163" s="16">
        <f t="shared" si="5"/>
        <v>19136.980000000061</v>
      </c>
    </row>
    <row r="164" spans="2:12" x14ac:dyDescent="0.2">
      <c r="B164" s="13">
        <f t="shared" si="6"/>
        <v>159</v>
      </c>
      <c r="C164" s="14">
        <v>46043</v>
      </c>
      <c r="D164" s="14">
        <v>46043</v>
      </c>
      <c r="E164" s="17" t="s">
        <v>56</v>
      </c>
      <c r="G164" s="3">
        <v>-24.4</v>
      </c>
      <c r="H164" s="16">
        <f t="shared" si="5"/>
        <v>19112.58000000006</v>
      </c>
    </row>
    <row r="165" spans="2:12" x14ac:dyDescent="0.2">
      <c r="B165" s="13">
        <f t="shared" si="6"/>
        <v>160</v>
      </c>
      <c r="C165" s="14">
        <v>46052</v>
      </c>
      <c r="D165" s="14">
        <v>46052</v>
      </c>
      <c r="E165" s="17" t="s">
        <v>15</v>
      </c>
      <c r="G165" s="3">
        <v>-40</v>
      </c>
      <c r="H165" s="16">
        <f t="shared" si="5"/>
        <v>19072.58000000006</v>
      </c>
    </row>
    <row r="166" spans="2:12" x14ac:dyDescent="0.2">
      <c r="B166" s="13">
        <f t="shared" si="6"/>
        <v>161</v>
      </c>
      <c r="C166" s="14">
        <v>46052</v>
      </c>
      <c r="D166" s="14">
        <v>46052</v>
      </c>
      <c r="E166" s="17" t="s">
        <v>15</v>
      </c>
      <c r="G166" s="3">
        <v>-0.41</v>
      </c>
      <c r="H166" s="16">
        <f t="shared" si="5"/>
        <v>19072.17000000006</v>
      </c>
    </row>
    <row r="167" spans="2:12" x14ac:dyDescent="0.2">
      <c r="B167" s="13">
        <f t="shared" si="6"/>
        <v>162</v>
      </c>
      <c r="C167" s="14">
        <v>46054</v>
      </c>
      <c r="D167" s="14">
        <v>46054</v>
      </c>
      <c r="E167" s="17" t="s">
        <v>15</v>
      </c>
      <c r="G167" s="3">
        <v>-19.899999999999999</v>
      </c>
      <c r="H167" s="16">
        <f t="shared" si="5"/>
        <v>19052.270000000059</v>
      </c>
    </row>
    <row r="168" spans="2:12" x14ac:dyDescent="0.2">
      <c r="B168" s="13">
        <f t="shared" si="6"/>
        <v>163</v>
      </c>
      <c r="C168" s="14">
        <v>46083</v>
      </c>
      <c r="D168" s="14">
        <v>46083</v>
      </c>
      <c r="E168" s="17" t="s">
        <v>15</v>
      </c>
      <c r="G168" s="3">
        <v>-19.899999999999999</v>
      </c>
      <c r="H168" s="16">
        <f t="shared" si="5"/>
        <v>19032.370000000057</v>
      </c>
    </row>
    <row r="169" spans="2:12" x14ac:dyDescent="0.2">
      <c r="B169" s="13">
        <f t="shared" si="6"/>
        <v>164</v>
      </c>
      <c r="C169" s="14">
        <v>46112</v>
      </c>
      <c r="D169" s="14">
        <v>46112</v>
      </c>
      <c r="E169" s="17" t="s">
        <v>15</v>
      </c>
      <c r="G169" s="3">
        <v>-40</v>
      </c>
      <c r="H169" s="16">
        <f t="shared" si="5"/>
        <v>18992.370000000057</v>
      </c>
    </row>
    <row r="170" spans="2:12" x14ac:dyDescent="0.2">
      <c r="B170" s="13">
        <f t="shared" si="6"/>
        <v>165</v>
      </c>
      <c r="C170" s="14">
        <v>46113</v>
      </c>
      <c r="D170" s="14">
        <v>46113</v>
      </c>
      <c r="E170" s="17" t="s">
        <v>15</v>
      </c>
      <c r="G170" s="3">
        <v>-19.899999999999999</v>
      </c>
      <c r="H170" s="16">
        <f t="shared" si="5"/>
        <v>18972.470000000056</v>
      </c>
    </row>
    <row r="171" spans="2:12" x14ac:dyDescent="0.2">
      <c r="B171" s="13">
        <f>B169+1</f>
        <v>165</v>
      </c>
      <c r="C171" s="14">
        <v>46144</v>
      </c>
      <c r="D171" s="14">
        <v>46144</v>
      </c>
      <c r="E171" s="17" t="s">
        <v>15</v>
      </c>
      <c r="G171" s="3">
        <v>-19.899999999999999</v>
      </c>
      <c r="H171" s="16">
        <f t="shared" si="5"/>
        <v>18952.570000000054</v>
      </c>
    </row>
    <row r="172" spans="2:12" x14ac:dyDescent="0.2">
      <c r="B172" s="13">
        <f>B170+1</f>
        <v>166</v>
      </c>
      <c r="C172" s="14">
        <v>46174</v>
      </c>
      <c r="D172" s="14">
        <v>46174</v>
      </c>
      <c r="E172" s="17" t="s">
        <v>15</v>
      </c>
      <c r="G172" s="3">
        <v>-19.899999999999999</v>
      </c>
      <c r="H172" s="16">
        <f t="shared" si="5"/>
        <v>18932.670000000053</v>
      </c>
    </row>
    <row r="173" spans="2:12" x14ac:dyDescent="0.2">
      <c r="B173" s="13">
        <f t="shared" ref="B173:B181" si="7">B171+1</f>
        <v>166</v>
      </c>
      <c r="C173" s="14">
        <v>46203</v>
      </c>
      <c r="D173" s="14">
        <v>46203</v>
      </c>
      <c r="E173" s="17" t="s">
        <v>15</v>
      </c>
      <c r="G173" s="3">
        <v>-40</v>
      </c>
      <c r="H173" s="16">
        <f t="shared" si="5"/>
        <v>18892.670000000053</v>
      </c>
    </row>
    <row r="174" spans="2:12" x14ac:dyDescent="0.2">
      <c r="B174" s="13">
        <f t="shared" si="7"/>
        <v>167</v>
      </c>
      <c r="C174" s="14">
        <v>46204</v>
      </c>
      <c r="D174" s="14">
        <v>46204</v>
      </c>
      <c r="E174" s="17" t="s">
        <v>15</v>
      </c>
      <c r="G174" s="3">
        <v>-19.899999999999999</v>
      </c>
      <c r="H174" s="16">
        <f t="shared" si="5"/>
        <v>18872.770000000051</v>
      </c>
    </row>
    <row r="175" spans="2:12" x14ac:dyDescent="0.2">
      <c r="B175" s="13">
        <f t="shared" si="7"/>
        <v>167</v>
      </c>
      <c r="C175" s="14">
        <v>46216</v>
      </c>
      <c r="D175" s="14">
        <v>46216</v>
      </c>
      <c r="E175" s="17" t="s">
        <v>29</v>
      </c>
      <c r="G175" s="3">
        <v>-350</v>
      </c>
      <c r="H175" s="16">
        <f t="shared" si="5"/>
        <v>18522.770000000051</v>
      </c>
      <c r="L175" s="3"/>
    </row>
    <row r="176" spans="2:12" x14ac:dyDescent="0.2">
      <c r="B176" s="13">
        <f t="shared" si="7"/>
        <v>168</v>
      </c>
      <c r="C176" s="14">
        <v>46216</v>
      </c>
      <c r="D176" s="14">
        <v>46216</v>
      </c>
      <c r="E176" t="s">
        <v>16</v>
      </c>
      <c r="G176" s="3">
        <v>-1203.75</v>
      </c>
      <c r="H176" s="16">
        <f t="shared" si="5"/>
        <v>17319.020000000051</v>
      </c>
      <c r="L176" s="3"/>
    </row>
    <row r="177" spans="2:12" x14ac:dyDescent="0.2">
      <c r="B177" s="13">
        <f t="shared" si="7"/>
        <v>168</v>
      </c>
      <c r="C177" s="14">
        <v>46227</v>
      </c>
      <c r="D177" s="14">
        <v>46227</v>
      </c>
      <c r="E177" s="17" t="s">
        <v>57</v>
      </c>
      <c r="G177" s="3">
        <v>-5773.48</v>
      </c>
      <c r="H177" s="16">
        <f t="shared" si="5"/>
        <v>11545.540000000052</v>
      </c>
    </row>
    <row r="178" spans="2:12" x14ac:dyDescent="0.2">
      <c r="B178" s="13">
        <f t="shared" si="7"/>
        <v>169</v>
      </c>
      <c r="C178" s="14">
        <v>46235</v>
      </c>
      <c r="D178" s="14">
        <v>46235</v>
      </c>
      <c r="E178" s="17" t="s">
        <v>15</v>
      </c>
      <c r="G178" s="3">
        <v>-24.77</v>
      </c>
      <c r="H178" s="16">
        <f t="shared" si="5"/>
        <v>11520.770000000051</v>
      </c>
    </row>
    <row r="179" spans="2:12" x14ac:dyDescent="0.2">
      <c r="B179" s="13">
        <f>B177+1</f>
        <v>169</v>
      </c>
      <c r="C179" s="14">
        <v>46266</v>
      </c>
      <c r="D179" s="14">
        <v>46266</v>
      </c>
      <c r="E179" s="17" t="s">
        <v>15</v>
      </c>
      <c r="G179" s="3">
        <v>-19.899999999999999</v>
      </c>
      <c r="H179" s="16">
        <f t="shared" si="5"/>
        <v>11500.870000000052</v>
      </c>
    </row>
    <row r="180" spans="2:12" x14ac:dyDescent="0.2">
      <c r="B180" s="13">
        <f t="shared" si="7"/>
        <v>170</v>
      </c>
      <c r="C180" s="14">
        <v>46295</v>
      </c>
      <c r="D180" s="14">
        <v>46295</v>
      </c>
      <c r="E180" s="17" t="s">
        <v>15</v>
      </c>
      <c r="G180" s="3">
        <v>-40</v>
      </c>
      <c r="H180" s="16">
        <f t="shared" si="5"/>
        <v>11460.870000000052</v>
      </c>
    </row>
    <row r="181" spans="2:12" x14ac:dyDescent="0.2">
      <c r="B181" s="13">
        <f t="shared" si="7"/>
        <v>170</v>
      </c>
      <c r="C181" s="14">
        <v>46296</v>
      </c>
      <c r="D181" s="14">
        <v>46296</v>
      </c>
      <c r="E181" s="17" t="s">
        <v>15</v>
      </c>
      <c r="G181" s="3">
        <v>-19.899999999999999</v>
      </c>
      <c r="H181" s="16">
        <f t="shared" si="5"/>
        <v>11440.970000000052</v>
      </c>
    </row>
    <row r="182" spans="2:12" x14ac:dyDescent="0.2">
      <c r="B182" s="13"/>
      <c r="C182" s="14"/>
      <c r="D182" s="14"/>
      <c r="H182" s="16" t="str">
        <f>IF(G182="",".",H168+G182)</f>
        <v>.</v>
      </c>
      <c r="L182" s="3"/>
    </row>
    <row r="183" spans="2:12" x14ac:dyDescent="0.2">
      <c r="B183" s="13"/>
      <c r="C183" s="14"/>
      <c r="D183" s="14"/>
      <c r="H183" s="16" t="str">
        <f>IF(G183="",".",H10+G183)</f>
        <v>.</v>
      </c>
    </row>
    <row r="184" spans="2:12" s="5" customFormat="1" x14ac:dyDescent="0.2">
      <c r="B184" s="18"/>
      <c r="C184" s="19"/>
      <c r="D184" s="19"/>
      <c r="E184" s="20"/>
      <c r="F184" s="20"/>
      <c r="G184" s="21"/>
      <c r="H184" s="22">
        <f>INDEX(H6:H301,COUNTIF(H6:H183,"&lt;&gt;."))</f>
        <v>11440.970000000052</v>
      </c>
    </row>
  </sheetData>
  <autoFilter ref="B5:H6" xr:uid="{00000000-0009-0000-0000-00000C000000}"/>
  <pageMargins left="0.78740157499999996" right="0.78740157499999996" top="0.984251969" bottom="0.984251969" header="0.4921259845" footer="0.4921259845"/>
  <pageSetup paperSize="9" orientation="landscape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Revolut</vt:lpstr>
      <vt:lpstr>Olkypro Watergarden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dcterms:created xsi:type="dcterms:W3CDTF">2026-10-17T12:23:34Z</dcterms:created>
  <dcterms:modified xsi:type="dcterms:W3CDTF">2026-10-17T12:24:24Z</dcterms:modified>
</cp:coreProperties>
</file>