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SILE - SPA ARCOIRIS\2 - WATERGARDEN MANAGEMENT\AZIONISTI  SPA - BRASILE\"/>
    </mc:Choice>
  </mc:AlternateContent>
  <xr:revisionPtr revIDLastSave="0" documentId="13_ncr:1_{FFE76115-EC1F-41F0-AE40-E41BCA88997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gistre" sheetId="8" r:id="rId1"/>
    <sheet name="Soci Watergarden" sheetId="6" r:id="rId2"/>
    <sheet name="Soci Arcoiris" sheetId="4" r:id="rId3"/>
    <sheet name="Doc ID" sheetId="10" r:id="rId4"/>
  </sheets>
  <definedNames>
    <definedName name="aaa" localSheetId="0">#REF!</definedName>
    <definedName name="aaa" localSheetId="2">#REF!</definedName>
    <definedName name="aaa">#REF!</definedName>
    <definedName name="Anniversaire" localSheetId="0">#REF!,#REF!,#REF!,#REF!</definedName>
    <definedName name="Anniversaire" localSheetId="2">#REF!,#REF!,#REF!,#REF!</definedName>
    <definedName name="Anniversaire">#REF!,#REF!,#REF!,#REF!</definedName>
    <definedName name="_xlnm.Print_Area" localSheetId="0">Registre!$A$1:$K$39</definedName>
    <definedName name="_xlnm.Print_Area" localSheetId="2">'Soci Arcoiris'!$A$1:$M$36</definedName>
    <definedName name="_xlnm.Print_Area" localSheetId="1">'Soci Watergarden'!$B$2:$O$31</definedName>
    <definedName name="CAP1E" localSheetId="0">#REF!</definedName>
    <definedName name="CAP1E" localSheetId="2">#REF!</definedName>
    <definedName name="CAP1E">#REF!</definedName>
    <definedName name="CapitFIXE" localSheetId="0">#REF!</definedName>
    <definedName name="CapitFIXE" localSheetId="2">#REF!</definedName>
    <definedName name="CapitFIXE">#REF!</definedName>
    <definedName name="Changement_de_taux" localSheetId="0">#REF!</definedName>
    <definedName name="Changement_de_taux" localSheetId="2">#REF!</definedName>
    <definedName name="Changement_de_taux">#REF!</definedName>
    <definedName name="Cout_Total" localSheetId="0">#REF!</definedName>
    <definedName name="Cout_Total" localSheetId="2">#REF!</definedName>
    <definedName name="Cout_Total">#REF!</definedName>
    <definedName name="DATDB" localSheetId="0">#REF!</definedName>
    <definedName name="DATDB" localSheetId="2">#REF!</definedName>
    <definedName name="DATDB">#REF!</definedName>
    <definedName name="DebAmort" localSheetId="0">#REF!</definedName>
    <definedName name="DebAmort" localSheetId="2">#REF!</definedName>
    <definedName name="DebAmort">#REF!</definedName>
    <definedName name="Différé" localSheetId="0">#REF!</definedName>
    <definedName name="Différé" localSheetId="2">#REF!</definedName>
    <definedName name="Différé">#REF!</definedName>
    <definedName name="DiffSimple" localSheetId="0">#REF!</definedName>
    <definedName name="DiffSimple" localSheetId="2">#REF!</definedName>
    <definedName name="DiffSimple">#REF!</definedName>
    <definedName name="DiffTotal" localSheetId="0">#REF!</definedName>
    <definedName name="DiffTotal" localSheetId="2">#REF!</definedName>
    <definedName name="DiffTotal">#REF!</definedName>
    <definedName name="EchFIXE" localSheetId="0">#REF!</definedName>
    <definedName name="EchFIXE" localSheetId="2">#REF!</definedName>
    <definedName name="EchFIXE">#REF!</definedName>
    <definedName name="FraisF" localSheetId="0">#REF!</definedName>
    <definedName name="FraisF" localSheetId="2">#REF!</definedName>
    <definedName name="FraisF">#REF!</definedName>
    <definedName name="FraisV" localSheetId="0">#REF!</definedName>
    <definedName name="FraisV" localSheetId="2">#REF!</definedName>
    <definedName name="FraisV">#REF!</definedName>
    <definedName name="Ijour" localSheetId="0">#REF!</definedName>
    <definedName name="Ijour" localSheetId="2">#REF!</definedName>
    <definedName name="Ijour">#REF!</definedName>
    <definedName name="Imois" localSheetId="0">#REF!</definedName>
    <definedName name="Imois" localSheetId="2">#REF!</definedName>
    <definedName name="Imois">#REF!</definedName>
    <definedName name="INT1E" localSheetId="0">#REF!</definedName>
    <definedName name="INT1E" localSheetId="2">#REF!</definedName>
    <definedName name="INT1E">#REF!</definedName>
    <definedName name="Jour1" localSheetId="0">#REF!</definedName>
    <definedName name="Jour1" localSheetId="2">#REF!</definedName>
    <definedName name="Jour1">#REF!</definedName>
    <definedName name="Jour2" localSheetId="0">#REF!</definedName>
    <definedName name="Jour2" localSheetId="2">#REF!</definedName>
    <definedName name="Jour2">#REF!</definedName>
    <definedName name="MoisD" localSheetId="0">#REF!</definedName>
    <definedName name="MoisD" localSheetId="2">#REF!</definedName>
    <definedName name="MoisD">#REF!</definedName>
    <definedName name="MtEch" localSheetId="0">#REF!</definedName>
    <definedName name="MtEch" localSheetId="2">#REF!</definedName>
    <definedName name="MtEch">#REF!</definedName>
    <definedName name="MtEmprunt" localSheetId="0">#REF!</definedName>
    <definedName name="MtEmprunt" localSheetId="2">#REF!</definedName>
    <definedName name="MtEmprunt">#REF!</definedName>
    <definedName name="NbDeci" localSheetId="0">#REF!</definedName>
    <definedName name="NbDeci" localSheetId="2">#REF!</definedName>
    <definedName name="NbDeci">#REF!</definedName>
    <definedName name="NbEch" localSheetId="0">#REF!</definedName>
    <definedName name="NbEch" localSheetId="2">#REF!</definedName>
    <definedName name="NbEch">#REF!</definedName>
    <definedName name="NbEchAn" localSheetId="0">#REF!</definedName>
    <definedName name="NbEchAn" localSheetId="2">#REF!</definedName>
    <definedName name="NbEchAn">#REF!</definedName>
    <definedName name="NoEchMaxi" localSheetId="0">#REF!</definedName>
    <definedName name="NoEchMaxi" localSheetId="2">#REF!</definedName>
    <definedName name="NoEchMaxi">#REF!</definedName>
    <definedName name="NoEchRemb" localSheetId="0">#REF!</definedName>
    <definedName name="NoEchRemb" localSheetId="2">#REF!</definedName>
    <definedName name="NoEchRemb">#REF!</definedName>
    <definedName name="Nombre_échéances" localSheetId="0">#REF!</definedName>
    <definedName name="Nombre_échéances" localSheetId="2">#REF!</definedName>
    <definedName name="Nombre_échéances">#REF!</definedName>
    <definedName name="Periodicite" localSheetId="0">#REF!</definedName>
    <definedName name="Periodicite" localSheetId="2">#REF!</definedName>
    <definedName name="Periodicite">#REF!</definedName>
    <definedName name="RVDebit" localSheetId="0">#REF!</definedName>
    <definedName name="RVDebit" localSheetId="2">#REF!</definedName>
    <definedName name="RVDebit">#REF!</definedName>
    <definedName name="TauxActuariel" localSheetId="0">#REF!</definedName>
    <definedName name="TauxActuariel" localSheetId="2">#REF!</definedName>
    <definedName name="TauxActuariel">#REF!</definedName>
    <definedName name="Total_Capital" localSheetId="0">#REF!</definedName>
    <definedName name="Total_Capital" localSheetId="2">#REF!</definedName>
    <definedName name="Total_Capital">#REF!</definedName>
    <definedName name="Total_Frais" localSheetId="0">#REF!</definedName>
    <definedName name="Total_Frais" localSheetId="2">#REF!</definedName>
    <definedName name="Total_Frais">#REF!</definedName>
    <definedName name="Total_Intérêts" localSheetId="0">#REF!</definedName>
    <definedName name="Total_Intérêts" localSheetId="2">#REF!</definedName>
    <definedName name="Total_Intérêts">#REF!</definedName>
    <definedName name="TVDebit" localSheetId="0">#REF!</definedName>
    <definedName name="TVDebit" localSheetId="2">#REF!</definedName>
    <definedName name="TVDebit">#REF!</definedName>
    <definedName name="TxPer" localSheetId="0">#REF!</definedName>
    <definedName name="TxPer" localSheetId="2">#REF!</definedName>
    <definedName name="TxP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10" l="1"/>
  <c r="I26" i="8"/>
  <c r="I25" i="8"/>
  <c r="I24" i="8"/>
  <c r="I23" i="8"/>
  <c r="I22" i="8"/>
  <c r="I21" i="8"/>
  <c r="I9" i="8"/>
  <c r="I10" i="8"/>
  <c r="I11" i="8"/>
  <c r="I12" i="8"/>
  <c r="I13" i="8"/>
  <c r="I14" i="8"/>
  <c r="I15" i="8"/>
  <c r="I16" i="8"/>
  <c r="I17" i="8"/>
  <c r="I18" i="8"/>
  <c r="I8" i="8"/>
  <c r="F12" i="4" l="1"/>
  <c r="H11" i="4"/>
  <c r="F24" i="4" l="1"/>
  <c r="I11" i="4" s="1"/>
  <c r="L23" i="6"/>
  <c r="I12" i="4" l="1"/>
  <c r="F27" i="8"/>
  <c r="I27" i="8" s="1"/>
  <c r="F19" i="8"/>
  <c r="F29" i="8" l="1"/>
  <c r="G15" i="8" s="1"/>
  <c r="I19" i="8"/>
  <c r="I29" i="8" s="1"/>
  <c r="G13" i="8"/>
  <c r="G12" i="8"/>
  <c r="G8" i="8"/>
  <c r="G23" i="8"/>
  <c r="G11" i="8"/>
  <c r="G26" i="8"/>
  <c r="G18" i="8"/>
  <c r="G14" i="8"/>
  <c r="G21" i="8" l="1"/>
  <c r="G27" i="8" s="1"/>
  <c r="G24" i="8"/>
  <c r="G10" i="8"/>
  <c r="G25" i="8"/>
  <c r="G16" i="8"/>
  <c r="G9" i="8"/>
  <c r="G17" i="8"/>
  <c r="G22" i="8"/>
  <c r="G19" i="8"/>
  <c r="K26" i="6"/>
  <c r="K17" i="6"/>
  <c r="L25" i="6"/>
  <c r="L24" i="6"/>
  <c r="L22" i="6"/>
  <c r="L21" i="6"/>
  <c r="L20" i="6"/>
  <c r="L19" i="6"/>
  <c r="L7" i="6"/>
  <c r="L8" i="6"/>
  <c r="L9" i="6"/>
  <c r="L10" i="6"/>
  <c r="L11" i="6"/>
  <c r="L12" i="6"/>
  <c r="L13" i="6"/>
  <c r="L14" i="6"/>
  <c r="L15" i="6"/>
  <c r="L16" i="6"/>
  <c r="L6" i="6"/>
  <c r="G29" i="8" l="1"/>
  <c r="K29" i="6"/>
  <c r="L26" i="6"/>
  <c r="L17" i="6"/>
  <c r="L29" i="6" l="1"/>
  <c r="I17" i="6"/>
  <c r="M23" i="6" l="1"/>
  <c r="L31" i="6"/>
  <c r="M7" i="6"/>
  <c r="M22" i="6"/>
  <c r="M11" i="6"/>
  <c r="M15" i="6"/>
  <c r="M19" i="6"/>
  <c r="M9" i="6"/>
  <c r="M12" i="6"/>
  <c r="M24" i="6"/>
  <c r="M20" i="6"/>
  <c r="M8" i="6"/>
  <c r="M14" i="6"/>
  <c r="M6" i="6"/>
  <c r="M25" i="6"/>
  <c r="M21" i="6"/>
  <c r="M10" i="6"/>
  <c r="M13" i="6"/>
  <c r="M16" i="6"/>
  <c r="H15" i="4"/>
  <c r="H18" i="4"/>
  <c r="H21" i="4"/>
  <c r="H9" i="4"/>
  <c r="H12" i="4" s="1"/>
  <c r="H24" i="4" l="1"/>
  <c r="M26" i="6"/>
  <c r="M17" i="6"/>
  <c r="M29" i="6" s="1"/>
  <c r="I15" i="4"/>
  <c r="I9" i="4"/>
  <c r="I21" i="4"/>
  <c r="I18" i="4"/>
  <c r="I24" i="4" l="1"/>
  <c r="I26" i="6" l="1"/>
  <c r="I29" i="6" s="1"/>
  <c r="I31" i="6" s="1"/>
  <c r="J20" i="6" l="1"/>
  <c r="J23" i="6"/>
  <c r="J25" i="6"/>
  <c r="J22" i="6"/>
  <c r="J15" i="6"/>
  <c r="J14" i="6"/>
  <c r="J6" i="6"/>
  <c r="N3" i="6"/>
  <c r="J19" i="6" l="1"/>
  <c r="J9" i="6"/>
  <c r="J21" i="6"/>
  <c r="J8" i="6"/>
  <c r="J13" i="6"/>
  <c r="J7" i="6"/>
  <c r="J16" i="6"/>
  <c r="J24" i="6"/>
  <c r="J10" i="6"/>
  <c r="J11" i="6"/>
  <c r="J12" i="6"/>
  <c r="J17" i="6" l="1"/>
  <c r="J26" i="6"/>
  <c r="J29" i="6" l="1"/>
</calcChain>
</file>

<file path=xl/sharedStrings.xml><?xml version="1.0" encoding="utf-8"?>
<sst xmlns="http://schemas.openxmlformats.org/spreadsheetml/2006/main" count="314" uniqueCount="132">
  <si>
    <t>ARCOIRIS ADMINISTRADORA DE BENS e IMOVEIS Limitada - Brasil</t>
  </si>
  <si>
    <t>Nr.</t>
  </si>
  <si>
    <t>Val. Nomin.</t>
  </si>
  <si>
    <t>CTV</t>
  </si>
  <si>
    <t>%</t>
  </si>
  <si>
    <t>WATERGARDEN MANAGEMENT S.à.r.l. - Luxembourg</t>
  </si>
  <si>
    <t>Franco TOSCANO</t>
  </si>
  <si>
    <t>BELARDI Alfonso</t>
  </si>
  <si>
    <t>VANDI Sergio</t>
  </si>
  <si>
    <t>MURGIA Jean-Pierre</t>
  </si>
  <si>
    <t>BOSI Giannino Stefano</t>
  </si>
  <si>
    <t>CANTON Marco</t>
  </si>
  <si>
    <t>TUBIA Edoardo</t>
  </si>
  <si>
    <t>GLENELG SA</t>
  </si>
  <si>
    <t>STERZI Marco</t>
  </si>
  <si>
    <t>VIGNOLLE Giorgio</t>
  </si>
  <si>
    <t>HEMAWITI Susik</t>
  </si>
  <si>
    <t>Indonesia</t>
  </si>
  <si>
    <t>TUBIA Enrico</t>
  </si>
  <si>
    <t>Hong Kong</t>
  </si>
  <si>
    <t>ALIX Marylène</t>
  </si>
  <si>
    <t>MMM FINANCE SARL</t>
  </si>
  <si>
    <t>REGISTRE ASSOCIES</t>
  </si>
  <si>
    <t>Actionnaire</t>
  </si>
  <si>
    <t>Pour compte de:</t>
  </si>
  <si>
    <t>Résidence</t>
  </si>
  <si>
    <t>Nr Action</t>
  </si>
  <si>
    <t>Ben. Economique</t>
  </si>
  <si>
    <t>Luxembourg</t>
  </si>
  <si>
    <t>Dépositaire</t>
  </si>
  <si>
    <t>Nr Actions</t>
  </si>
  <si>
    <t>% Dét. Actuelle</t>
  </si>
  <si>
    <t>Total actions</t>
  </si>
  <si>
    <t>Valeur Nominal x action</t>
  </si>
  <si>
    <t>Divers associés</t>
  </si>
  <si>
    <t>Divers associés proportionellement</t>
  </si>
  <si>
    <t>DESIDERIO Salvatore</t>
  </si>
  <si>
    <t>c/o ESSEDI PARTNERS SA - Luxembourg</t>
  </si>
  <si>
    <t>Capital Sociale</t>
  </si>
  <si>
    <t>GOYANNA PARTICIPACOES E ACESSORIA EMPRESARIAL LTDA</t>
  </si>
  <si>
    <t>Brésil</t>
  </si>
  <si>
    <t>Suisse</t>
  </si>
  <si>
    <t>J. M. EMPREENDIMENTOS IMOBILIARIOS E HOTELEIROS LTDA</t>
  </si>
  <si>
    <t>Franco Toscano</t>
  </si>
  <si>
    <t>Menico Mattiello</t>
  </si>
  <si>
    <t xml:space="preserve">B.E. </t>
  </si>
  <si>
    <t>A</t>
  </si>
  <si>
    <t>B</t>
  </si>
  <si>
    <t>TOT</t>
  </si>
  <si>
    <t>Classe</t>
  </si>
  <si>
    <t>Essedi Partners</t>
  </si>
  <si>
    <t>Essedi Partners +  Certif.</t>
  </si>
  <si>
    <t>______________________________</t>
  </si>
  <si>
    <t>_______________________________</t>
  </si>
  <si>
    <t>TUBIA EDOARDO</t>
  </si>
  <si>
    <t>Administrateur</t>
  </si>
  <si>
    <t>STERZI MARCO</t>
  </si>
  <si>
    <t>Mario Mattiello</t>
  </si>
  <si>
    <t>Veneranda Mattiello</t>
  </si>
  <si>
    <t>CNPJ: 07.059.083/0001-33</t>
  </si>
  <si>
    <t>CNPJ: 08.037.260/0001-43</t>
  </si>
  <si>
    <t>CPF: 014.486.024-40</t>
  </si>
  <si>
    <t>CNPJ: 29.405.920/0001-71</t>
  </si>
  <si>
    <t>CNPJ: 06.036.746/0001-31</t>
  </si>
  <si>
    <t>8, Rue de Beggen - 1220 Luxembourg</t>
  </si>
  <si>
    <t>Rua das Acacias, S/N, Praia de Pipa, Tibau do Sul/RN - CEP 59178-000</t>
  </si>
  <si>
    <t>Rua Praia de Pipa, 801, Praia de Pipa, Tibau do Sul/RN - CEP 59178-000</t>
  </si>
  <si>
    <t>GOYANNA è rappresentata dal suo Amministratore</t>
  </si>
  <si>
    <t>Ricardo PIMENTEL PORTELA DE MORAES</t>
  </si>
  <si>
    <t>Rua da Gameleira, 1475 Praia de Pipa - Tibau do Sul/RN - CEP 59.178-000</t>
  </si>
  <si>
    <t>Rua Doutor Poty Nobrega, 1946 , Lagoa Nova, Natal/RN - CEP 59056-180</t>
  </si>
  <si>
    <t>CPF: 010.236.884-84</t>
  </si>
  <si>
    <t>Avenida Governador Silvio Pedroza, 304, Apto 701, Areia Preta, Natal/RN - CEP 59014-100</t>
  </si>
  <si>
    <t>WATERGARDEN è rappresentata dal suo Amministratore</t>
  </si>
  <si>
    <t>J. M.  è rappresentata dal suo Amministratore</t>
  </si>
  <si>
    <t>Dopo Alteraçao nr 12 del 14.07.2021</t>
  </si>
  <si>
    <t>Capital Call 2022</t>
  </si>
  <si>
    <t>STERZI Adonella</t>
  </si>
  <si>
    <t>M.E.</t>
  </si>
  <si>
    <t>CAPITAL SOCIALE</t>
  </si>
  <si>
    <t>NOMBRE D'ACTIONS</t>
  </si>
  <si>
    <t>Dopo Alteraçao nr 14 del 05.01.2023</t>
  </si>
  <si>
    <t>Luxembourg, 21.05.2024</t>
  </si>
  <si>
    <t>SHAREHOLDERS REGISTER EXTRACT</t>
  </si>
  <si>
    <t>Shares Nominal Value</t>
  </si>
  <si>
    <t>SHAREHOLDER</t>
  </si>
  <si>
    <t>CLASS</t>
  </si>
  <si>
    <t>NR SHARES</t>
  </si>
  <si>
    <t>% Det.</t>
  </si>
  <si>
    <t>SOC. CAP.</t>
  </si>
  <si>
    <t xml:space="preserve">     06/05/2026</t>
  </si>
  <si>
    <t>MATTIELLO Family ***</t>
  </si>
  <si>
    <t>***</t>
  </si>
  <si>
    <t>TOSCANO Franco - Luxembourg</t>
  </si>
  <si>
    <t>Shareholder</t>
  </si>
  <si>
    <t>Nationality</t>
  </si>
  <si>
    <t>Fiscal residence</t>
  </si>
  <si>
    <t>RCS</t>
  </si>
  <si>
    <t>ID nr</t>
  </si>
  <si>
    <t>DOC Type</t>
  </si>
  <si>
    <t>Nr</t>
  </si>
  <si>
    <t>Issued on</t>
  </si>
  <si>
    <t>Authority</t>
  </si>
  <si>
    <t>Maturity</t>
  </si>
  <si>
    <t>Notes</t>
  </si>
  <si>
    <t>LUXEMBOURG</t>
  </si>
  <si>
    <t>1958 09 12 012 28</t>
  </si>
  <si>
    <t>HONG KONG</t>
  </si>
  <si>
    <t>1953 12 11 017 25</t>
  </si>
  <si>
    <t>INDONESIA</t>
  </si>
  <si>
    <t>**</t>
  </si>
  <si>
    <t>Passport</t>
  </si>
  <si>
    <t>X8819177</t>
  </si>
  <si>
    <t>Rep Indonesia</t>
  </si>
  <si>
    <t>NR</t>
  </si>
  <si>
    <t>CLASS Sh</t>
  </si>
  <si>
    <t>GLENELG S.A.</t>
  </si>
  <si>
    <t>SWITZERLAND</t>
  </si>
  <si>
    <t>A - B</t>
  </si>
  <si>
    <t>M.M.M. Finance Sàrl</t>
  </si>
  <si>
    <t>Indonesian</t>
  </si>
  <si>
    <t>Italian/Luxemburgish</t>
  </si>
  <si>
    <t>Italian</t>
  </si>
  <si>
    <t>B119009</t>
  </si>
  <si>
    <t>B.O.</t>
  </si>
  <si>
    <t>MATTIELLO Veneranda</t>
  </si>
  <si>
    <t>MATTIELLO Mario</t>
  </si>
  <si>
    <t>MATTIELLO Menico</t>
  </si>
  <si>
    <t>B163801</t>
  </si>
  <si>
    <t>TOSCANO Franco</t>
  </si>
  <si>
    <t>SH.%</t>
  </si>
  <si>
    <t>M.M.M FINANCE SARL.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</si>
</sst>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&quot;€&quot;\ * #,##0.00_-;\-&quot;€&quot;\ * #,##0.00_-;_-&quot;€&quot;\ * &quot;-&quot;??_-;_-@_-"/>
    <numFmt numFmtId="165" formatCode="#,##0_ ;[Red]\-#,##0\ "/>
    <numFmt numFmtId="166" formatCode="[$R$-416]\ #,##0.00;[Red]\-[$R$-416]\ #,##0.00"/>
    <numFmt numFmtId="167" formatCode="0.0000%"/>
    <numFmt numFmtId="168" formatCode="#,##0.00;\-#,##0.00;&quot;&quot;"/>
    <numFmt numFmtId="169" formatCode="#,##0.00;\-#,##0.00;\-"/>
    <numFmt numFmtId="170" formatCode="_-* #,##0.00_-;_-* #,##0.00\-;_-* &quot;-&quot;??_-;_-@_-"/>
    <numFmt numFmtId="171" formatCode="[$$-409]#,##0.00_ ;[Red]\-[$$-409]#,##0.00\ "/>
    <numFmt numFmtId="172" formatCode="#,##0.00\ [$€-1];[Red]\-#,##0.00\ [$€-1]"/>
    <numFmt numFmtId="173" formatCode="#,##0.00_ ;[Red]\-#,##0.00\ "/>
    <numFmt numFmtId="174" formatCode="#,##0.00\ &quot;€&quot;"/>
    <numFmt numFmtId="175" formatCode="&quot;£&quot;#,##0.00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24"/>
      </top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">
    <xf numFmtId="0" fontId="0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6" borderId="0" applyNumberFormat="0" applyBorder="0" applyAlignment="0" applyProtection="0"/>
    <xf numFmtId="0" fontId="11" fillId="18" borderId="11" applyNumberFormat="0" applyAlignment="0" applyProtection="0"/>
    <xf numFmtId="0" fontId="11" fillId="18" borderId="11" applyNumberFormat="0" applyAlignment="0" applyProtection="0"/>
    <xf numFmtId="168" fontId="12" fillId="19" borderId="12" applyFont="0" applyFill="0" applyBorder="0" applyAlignment="0" applyProtection="0">
      <alignment wrapText="1"/>
    </xf>
    <xf numFmtId="169" fontId="12" fillId="19" borderId="12" applyFont="0" applyFill="0" applyBorder="0" applyAlignment="0" applyProtection="0">
      <alignment wrapText="1"/>
    </xf>
    <xf numFmtId="0" fontId="13" fillId="0" borderId="13" applyNumberFormat="0" applyFill="0" applyAlignment="0" applyProtection="0"/>
    <xf numFmtId="0" fontId="14" fillId="20" borderId="14" applyNumberFormat="0" applyAlignment="0" applyProtection="0"/>
    <xf numFmtId="0" fontId="14" fillId="20" borderId="14" applyNumberFormat="0" applyAlignment="0" applyProtection="0"/>
    <xf numFmtId="0" fontId="13" fillId="0" borderId="13" applyNumberFormat="0" applyFill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4" borderId="0" applyNumberFormat="0" applyBorder="0" applyAlignment="0" applyProtection="0"/>
    <xf numFmtId="170" fontId="15" fillId="0" borderId="0" applyFont="0" applyFill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4" borderId="0" applyNumberFormat="0" applyBorder="0" applyAlignment="0" applyProtection="0"/>
    <xf numFmtId="0" fontId="16" fillId="9" borderId="11" applyNumberFormat="0" applyAlignment="0" applyProtection="0"/>
    <xf numFmtId="164" fontId="15" fillId="0" borderId="0" applyFont="0" applyFill="0" applyBorder="0" applyAlignment="0" applyProtection="0"/>
    <xf numFmtId="0" fontId="17" fillId="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9" fillId="18" borderId="1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0" fillId="6" borderId="0" applyNumberFormat="0" applyBorder="0" applyAlignment="0" applyProtection="0"/>
    <xf numFmtId="0" fontId="5" fillId="0" borderId="0"/>
    <xf numFmtId="0" fontId="15" fillId="26" borderId="19" applyNumberFormat="0" applyFont="0" applyAlignment="0" applyProtection="0"/>
    <xf numFmtId="0" fontId="4" fillId="0" borderId="0"/>
    <xf numFmtId="0" fontId="3" fillId="0" borderId="0"/>
    <xf numFmtId="0" fontId="15" fillId="0" borderId="0"/>
    <xf numFmtId="0" fontId="2" fillId="0" borderId="0"/>
  </cellStyleXfs>
  <cellXfs count="140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6" fillId="2" borderId="1" xfId="0" applyFont="1" applyFill="1" applyBorder="1" applyAlignment="1">
      <alignment horizontal="center"/>
    </xf>
    <xf numFmtId="0" fontId="7" fillId="2" borderId="2" xfId="0" applyFont="1" applyFill="1" applyBorder="1"/>
    <xf numFmtId="0" fontId="6" fillId="2" borderId="2" xfId="0" applyFont="1" applyFill="1" applyBorder="1"/>
    <xf numFmtId="0" fontId="0" fillId="2" borderId="3" xfId="0" applyFill="1" applyBorder="1"/>
    <xf numFmtId="0" fontId="6" fillId="2" borderId="4" xfId="0" applyFont="1" applyFill="1" applyBorder="1" applyAlignment="1">
      <alignment horizontal="center"/>
    </xf>
    <xf numFmtId="0" fontId="7" fillId="2" borderId="5" xfId="0" applyFont="1" applyFill="1" applyBorder="1"/>
    <xf numFmtId="0" fontId="6" fillId="2" borderId="5" xfId="0" applyFont="1" applyFill="1" applyBorder="1"/>
    <xf numFmtId="0" fontId="0" fillId="2" borderId="6" xfId="0" applyFill="1" applyBorder="1"/>
    <xf numFmtId="0" fontId="6" fillId="0" borderId="9" xfId="0" applyFont="1" applyBorder="1" applyAlignment="1">
      <alignment horizontal="center"/>
    </xf>
    <xf numFmtId="165" fontId="6" fillId="0" borderId="0" xfId="0" applyNumberFormat="1" applyFont="1"/>
    <xf numFmtId="166" fontId="6" fillId="0" borderId="2" xfId="0" applyNumberFormat="1" applyFont="1" applyBorder="1"/>
    <xf numFmtId="10" fontId="6" fillId="0" borderId="0" xfId="0" applyNumberFormat="1" applyFont="1" applyAlignment="1">
      <alignment horizontal="center"/>
    </xf>
    <xf numFmtId="10" fontId="6" fillId="0" borderId="10" xfId="0" applyNumberFormat="1" applyFont="1" applyBorder="1" applyAlignment="1">
      <alignment horizontal="center"/>
    </xf>
    <xf numFmtId="166" fontId="6" fillId="0" borderId="0" xfId="0" applyNumberFormat="1" applyFont="1"/>
    <xf numFmtId="0" fontId="6" fillId="0" borderId="4" xfId="0" applyFont="1" applyBorder="1" applyAlignment="1">
      <alignment horizontal="center"/>
    </xf>
    <xf numFmtId="0" fontId="0" fillId="0" borderId="5" xfId="0" applyBorder="1"/>
    <xf numFmtId="0" fontId="6" fillId="0" borderId="5" xfId="0" applyFont="1" applyBorder="1"/>
    <xf numFmtId="165" fontId="6" fillId="3" borderId="7" xfId="0" applyNumberFormat="1" applyFont="1" applyFill="1" applyBorder="1"/>
    <xf numFmtId="165" fontId="6" fillId="3" borderId="8" xfId="0" applyNumberFormat="1" applyFont="1" applyFill="1" applyBorder="1"/>
    <xf numFmtId="166" fontId="6" fillId="3" borderId="8" xfId="0" applyNumberFormat="1" applyFont="1" applyFill="1" applyBorder="1"/>
    <xf numFmtId="0" fontId="0" fillId="0" borderId="6" xfId="0" applyBorder="1"/>
    <xf numFmtId="171" fontId="6" fillId="2" borderId="2" xfId="0" applyNumberFormat="1" applyFont="1" applyFill="1" applyBorder="1"/>
    <xf numFmtId="0" fontId="6" fillId="2" borderId="9" xfId="0" applyFont="1" applyFill="1" applyBorder="1" applyAlignment="1">
      <alignment horizontal="center"/>
    </xf>
    <xf numFmtId="0" fontId="7" fillId="2" borderId="0" xfId="0" applyFont="1" applyFill="1"/>
    <xf numFmtId="0" fontId="6" fillId="2" borderId="0" xfId="0" applyFont="1" applyFill="1"/>
    <xf numFmtId="171" fontId="6" fillId="2" borderId="0" xfId="0" applyNumberFormat="1" applyFont="1" applyFill="1"/>
    <xf numFmtId="0" fontId="0" fillId="2" borderId="10" xfId="0" applyFill="1" applyBorder="1"/>
    <xf numFmtId="167" fontId="6" fillId="0" borderId="0" xfId="0" applyNumberFormat="1" applyFont="1" applyAlignment="1">
      <alignment horizontal="center"/>
    </xf>
    <xf numFmtId="10" fontId="6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5" fontId="6" fillId="2" borderId="2" xfId="0" applyNumberFormat="1" applyFont="1" applyFill="1" applyBorder="1" applyAlignment="1">
      <alignment horizontal="right"/>
    </xf>
    <xf numFmtId="172" fontId="6" fillId="2" borderId="0" xfId="0" applyNumberFormat="1" applyFont="1" applyFill="1" applyAlignment="1">
      <alignment horizontal="right"/>
    </xf>
    <xf numFmtId="10" fontId="6" fillId="3" borderId="6" xfId="0" applyNumberFormat="1" applyFont="1" applyFill="1" applyBorder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0" fontId="6" fillId="0" borderId="10" xfId="0" applyFont="1" applyBorder="1"/>
    <xf numFmtId="0" fontId="6" fillId="0" borderId="21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0" fontId="6" fillId="0" borderId="22" xfId="0" applyNumberFormat="1" applyFont="1" applyBorder="1" applyAlignment="1">
      <alignment horizontal="center"/>
    </xf>
    <xf numFmtId="167" fontId="6" fillId="0" borderId="0" xfId="0" applyNumberFormat="1" applyFont="1" applyAlignment="1">
      <alignment horizontal="left"/>
    </xf>
    <xf numFmtId="173" fontId="6" fillId="0" borderId="5" xfId="0" applyNumberFormat="1" applyFont="1" applyBorder="1"/>
    <xf numFmtId="0" fontId="6" fillId="2" borderId="0" xfId="0" applyFont="1" applyFill="1" applyAlignment="1">
      <alignment horizontal="center"/>
    </xf>
    <xf numFmtId="167" fontId="6" fillId="0" borderId="23" xfId="0" applyNumberFormat="1" applyFont="1" applyBorder="1" applyAlignment="1">
      <alignment horizontal="center"/>
    </xf>
    <xf numFmtId="167" fontId="26" fillId="27" borderId="0" xfId="0" applyNumberFormat="1" applyFont="1" applyFill="1" applyAlignment="1">
      <alignment horizontal="center"/>
    </xf>
    <xf numFmtId="0" fontId="28" fillId="0" borderId="0" xfId="87" applyFont="1"/>
    <xf numFmtId="0" fontId="3" fillId="0" borderId="0" xfId="87"/>
    <xf numFmtId="165" fontId="27" fillId="0" borderId="0" xfId="87" applyNumberFormat="1" applyFont="1" applyAlignment="1">
      <alignment horizontal="center"/>
    </xf>
    <xf numFmtId="0" fontId="27" fillId="0" borderId="0" xfId="87" applyFont="1"/>
    <xf numFmtId="0" fontId="27" fillId="0" borderId="0" xfId="87" applyFont="1" applyAlignment="1">
      <alignment horizontal="center"/>
    </xf>
    <xf numFmtId="0" fontId="3" fillId="0" borderId="0" xfId="87" applyAlignment="1">
      <alignment horizontal="center"/>
    </xf>
    <xf numFmtId="0" fontId="28" fillId="0" borderId="0" xfId="87" applyFont="1" applyAlignment="1">
      <alignment horizontal="center"/>
    </xf>
    <xf numFmtId="165" fontId="28" fillId="0" borderId="0" xfId="87" applyNumberFormat="1" applyFont="1" applyAlignment="1">
      <alignment horizontal="right"/>
    </xf>
    <xf numFmtId="10" fontId="28" fillId="0" borderId="0" xfId="87" applyNumberFormat="1" applyFont="1" applyAlignment="1">
      <alignment horizontal="center"/>
    </xf>
    <xf numFmtId="0" fontId="29" fillId="0" borderId="0" xfId="87" applyFont="1"/>
    <xf numFmtId="165" fontId="28" fillId="0" borderId="23" xfId="87" applyNumberFormat="1" applyFont="1" applyBorder="1" applyAlignment="1">
      <alignment horizontal="right"/>
    </xf>
    <xf numFmtId="0" fontId="29" fillId="0" borderId="23" xfId="87" applyFont="1" applyBorder="1"/>
    <xf numFmtId="165" fontId="27" fillId="0" borderId="0" xfId="87" applyNumberFormat="1" applyFont="1" applyAlignment="1">
      <alignment horizontal="left"/>
    </xf>
    <xf numFmtId="0" fontId="28" fillId="0" borderId="23" xfId="87" applyFont="1" applyBorder="1" applyAlignment="1">
      <alignment horizontal="center"/>
    </xf>
    <xf numFmtId="10" fontId="28" fillId="0" borderId="23" xfId="87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167" fontId="7" fillId="3" borderId="5" xfId="0" applyNumberFormat="1" applyFont="1" applyFill="1" applyBorder="1" applyAlignment="1">
      <alignment horizontal="center"/>
    </xf>
    <xf numFmtId="165" fontId="6" fillId="0" borderId="23" xfId="0" applyNumberFormat="1" applyFont="1" applyBorder="1"/>
    <xf numFmtId="165" fontId="26" fillId="27" borderId="0" xfId="0" applyNumberFormat="1" applyFont="1" applyFill="1"/>
    <xf numFmtId="165" fontId="6" fillId="0" borderId="5" xfId="0" applyNumberFormat="1" applyFont="1" applyBorder="1"/>
    <xf numFmtId="165" fontId="7" fillId="3" borderId="5" xfId="0" applyNumberFormat="1" applyFont="1" applyFill="1" applyBorder="1"/>
    <xf numFmtId="165" fontId="7" fillId="3" borderId="0" xfId="0" applyNumberFormat="1" applyFont="1" applyFill="1"/>
    <xf numFmtId="167" fontId="7" fillId="3" borderId="0" xfId="0" applyNumberFormat="1" applyFont="1" applyFill="1" applyAlignment="1">
      <alignment horizontal="center"/>
    </xf>
    <xf numFmtId="167" fontId="26" fillId="0" borderId="0" xfId="0" applyNumberFormat="1" applyFont="1" applyAlignment="1">
      <alignment horizontal="center"/>
    </xf>
    <xf numFmtId="165" fontId="26" fillId="0" borderId="0" xfId="0" applyNumberFormat="1" applyFont="1"/>
    <xf numFmtId="165" fontId="7" fillId="0" borderId="0" xfId="0" applyNumberFormat="1" applyFont="1"/>
    <xf numFmtId="167" fontId="7" fillId="0" borderId="0" xfId="0" applyNumberFormat="1" applyFont="1" applyAlignment="1">
      <alignment horizontal="center"/>
    </xf>
    <xf numFmtId="174" fontId="7" fillId="0" borderId="0" xfId="0" applyNumberFormat="1" applyFont="1"/>
    <xf numFmtId="0" fontId="6" fillId="3" borderId="0" xfId="0" applyFont="1" applyFill="1"/>
    <xf numFmtId="0" fontId="6" fillId="3" borderId="5" xfId="0" applyFont="1" applyFill="1" applyBorder="1"/>
    <xf numFmtId="174" fontId="7" fillId="3" borderId="5" xfId="0" applyNumberFormat="1" applyFont="1" applyFill="1" applyBorder="1"/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166" fontId="6" fillId="0" borderId="23" xfId="0" applyNumberFormat="1" applyFont="1" applyBorder="1"/>
    <xf numFmtId="175" fontId="3" fillId="0" borderId="0" xfId="87" applyNumberFormat="1"/>
    <xf numFmtId="175" fontId="27" fillId="0" borderId="0" xfId="87" applyNumberFormat="1" applyFont="1" applyAlignment="1">
      <alignment horizontal="center"/>
    </xf>
    <xf numFmtId="172" fontId="3" fillId="0" borderId="0" xfId="87" applyNumberFormat="1"/>
    <xf numFmtId="172" fontId="27" fillId="0" borderId="0" xfId="87" applyNumberFormat="1" applyFont="1" applyAlignment="1">
      <alignment horizontal="center"/>
    </xf>
    <xf numFmtId="175" fontId="27" fillId="0" borderId="0" xfId="87" applyNumberFormat="1" applyFont="1"/>
    <xf numFmtId="172" fontId="27" fillId="0" borderId="0" xfId="87" applyNumberFormat="1" applyFont="1" applyAlignment="1">
      <alignment horizontal="right"/>
    </xf>
    <xf numFmtId="172" fontId="27" fillId="0" borderId="23" xfId="87" applyNumberFormat="1" applyFont="1" applyBorder="1" applyAlignment="1">
      <alignment horizontal="right"/>
    </xf>
    <xf numFmtId="14" fontId="27" fillId="0" borderId="0" xfId="87" applyNumberFormat="1" applyFont="1" applyAlignment="1">
      <alignment horizontal="left"/>
    </xf>
    <xf numFmtId="9" fontId="6" fillId="0" borderId="24" xfId="0" applyNumberFormat="1" applyFont="1" applyBorder="1" applyAlignment="1">
      <alignment horizontal="center"/>
    </xf>
    <xf numFmtId="0" fontId="6" fillId="0" borderId="25" xfId="0" applyFont="1" applyBorder="1"/>
    <xf numFmtId="0" fontId="6" fillId="0" borderId="26" xfId="0" applyFont="1" applyBorder="1"/>
    <xf numFmtId="9" fontId="6" fillId="0" borderId="27" xfId="0" applyNumberFormat="1" applyFont="1" applyBorder="1" applyAlignment="1">
      <alignment horizontal="center"/>
    </xf>
    <xf numFmtId="0" fontId="6" fillId="0" borderId="28" xfId="0" applyFont="1" applyBorder="1"/>
    <xf numFmtId="9" fontId="6" fillId="0" borderId="29" xfId="0" applyNumberFormat="1" applyFont="1" applyBorder="1" applyAlignment="1">
      <alignment horizontal="center"/>
    </xf>
    <xf numFmtId="0" fontId="6" fillId="0" borderId="23" xfId="0" applyFont="1" applyBorder="1"/>
    <xf numFmtId="0" fontId="6" fillId="0" borderId="30" xfId="0" applyFont="1" applyBorder="1"/>
    <xf numFmtId="0" fontId="30" fillId="0" borderId="0" xfId="87" applyFont="1"/>
    <xf numFmtId="0" fontId="27" fillId="28" borderId="31" xfId="89" applyFont="1" applyFill="1" applyBorder="1" applyAlignment="1">
      <alignment horizontal="center"/>
    </xf>
    <xf numFmtId="0" fontId="27" fillId="28" borderId="32" xfId="89" applyFont="1" applyFill="1" applyBorder="1" applyAlignment="1">
      <alignment horizontal="center"/>
    </xf>
    <xf numFmtId="14" fontId="27" fillId="28" borderId="32" xfId="89" applyNumberFormat="1" applyFont="1" applyFill="1" applyBorder="1" applyAlignment="1">
      <alignment horizontal="center"/>
    </xf>
    <xf numFmtId="0" fontId="27" fillId="28" borderId="33" xfId="89" applyFont="1" applyFill="1" applyBorder="1" applyAlignment="1">
      <alignment horizontal="center"/>
    </xf>
    <xf numFmtId="0" fontId="2" fillId="0" borderId="0" xfId="89" applyAlignment="1">
      <alignment horizontal="center"/>
    </xf>
    <xf numFmtId="0" fontId="31" fillId="0" borderId="25" xfId="89" applyFont="1" applyBorder="1"/>
    <xf numFmtId="0" fontId="31" fillId="0" borderId="25" xfId="89" applyFont="1" applyBorder="1" applyAlignment="1">
      <alignment horizontal="center"/>
    </xf>
    <xf numFmtId="0" fontId="2" fillId="0" borderId="25" xfId="89" applyBorder="1"/>
    <xf numFmtId="0" fontId="2" fillId="0" borderId="26" xfId="89" applyBorder="1"/>
    <xf numFmtId="0" fontId="2" fillId="0" borderId="0" xfId="89"/>
    <xf numFmtId="0" fontId="2" fillId="0" borderId="27" xfId="89" applyBorder="1" applyAlignment="1">
      <alignment horizontal="center"/>
    </xf>
    <xf numFmtId="14" fontId="2" fillId="0" borderId="0" xfId="89" applyNumberFormat="1" applyAlignment="1">
      <alignment horizontal="center"/>
    </xf>
    <xf numFmtId="0" fontId="2" fillId="0" borderId="28" xfId="89" applyBorder="1"/>
    <xf numFmtId="0" fontId="2" fillId="0" borderId="29" xfId="89" applyBorder="1" applyAlignment="1">
      <alignment horizontal="center"/>
    </xf>
    <xf numFmtId="0" fontId="31" fillId="0" borderId="23" xfId="89" applyFont="1" applyBorder="1"/>
    <xf numFmtId="0" fontId="31" fillId="0" borderId="23" xfId="89" applyFont="1" applyBorder="1" applyAlignment="1">
      <alignment horizontal="center"/>
    </xf>
    <xf numFmtId="0" fontId="2" fillId="0" borderId="23" xfId="89" applyBorder="1"/>
    <xf numFmtId="14" fontId="2" fillId="0" borderId="23" xfId="89" applyNumberFormat="1" applyBorder="1" applyAlignment="1">
      <alignment horizontal="center"/>
    </xf>
    <xf numFmtId="0" fontId="2" fillId="0" borderId="30" xfId="89" applyBorder="1"/>
    <xf numFmtId="0" fontId="32" fillId="0" borderId="27" xfId="89" applyFont="1" applyBorder="1" applyAlignment="1">
      <alignment horizontal="center"/>
    </xf>
    <xf numFmtId="0" fontId="32" fillId="0" borderId="29" xfId="89" applyFont="1" applyBorder="1" applyAlignment="1">
      <alignment horizontal="center"/>
    </xf>
    <xf numFmtId="0" fontId="33" fillId="0" borderId="23" xfId="89" applyFont="1" applyBorder="1" applyAlignment="1">
      <alignment horizontal="center"/>
    </xf>
    <xf numFmtId="0" fontId="2" fillId="0" borderId="27" xfId="89" applyBorder="1"/>
    <xf numFmtId="0" fontId="2" fillId="0" borderId="29" xfId="89" applyBorder="1"/>
    <xf numFmtId="0" fontId="2" fillId="0" borderId="23" xfId="89" applyBorder="1" applyAlignment="1">
      <alignment horizontal="center"/>
    </xf>
    <xf numFmtId="0" fontId="32" fillId="0" borderId="0" xfId="89" applyFont="1" applyAlignment="1">
      <alignment horizontal="center"/>
    </xf>
    <xf numFmtId="0" fontId="32" fillId="0" borderId="23" xfId="89" applyFont="1" applyBorder="1" applyAlignment="1">
      <alignment horizontal="center"/>
    </xf>
    <xf numFmtId="0" fontId="31" fillId="0" borderId="24" xfId="89" applyFont="1" applyBorder="1" applyAlignment="1">
      <alignment horizontal="center"/>
    </xf>
    <xf numFmtId="14" fontId="31" fillId="0" borderId="25" xfId="89" applyNumberFormat="1" applyFont="1" applyBorder="1" applyAlignment="1">
      <alignment horizontal="center"/>
    </xf>
    <xf numFmtId="0" fontId="31" fillId="0" borderId="0" xfId="89" applyFont="1"/>
    <xf numFmtId="0" fontId="31" fillId="0" borderId="0" xfId="89" applyFont="1" applyAlignment="1">
      <alignment horizontal="center"/>
    </xf>
    <xf numFmtId="0" fontId="31" fillId="0" borderId="27" xfId="89" applyFont="1" applyBorder="1" applyAlignment="1">
      <alignment horizontal="center"/>
    </xf>
    <xf numFmtId="14" fontId="31" fillId="0" borderId="0" xfId="89" applyNumberFormat="1" applyFont="1" applyAlignment="1">
      <alignment horizontal="center"/>
    </xf>
    <xf numFmtId="0" fontId="33" fillId="0" borderId="0" xfId="89" applyFont="1" applyAlignment="1">
      <alignment horizontal="center"/>
    </xf>
    <xf numFmtId="0" fontId="1" fillId="0" borderId="0" xfId="89" applyFont="1"/>
    <xf numFmtId="10" fontId="27" fillId="28" borderId="32" xfId="89" applyNumberFormat="1" applyFont="1" applyFill="1" applyBorder="1" applyAlignment="1">
      <alignment horizontal="center"/>
    </xf>
    <xf numFmtId="10" fontId="31" fillId="0" borderId="25" xfId="89" applyNumberFormat="1" applyFont="1" applyBorder="1" applyAlignment="1">
      <alignment horizontal="center"/>
    </xf>
    <xf numFmtId="10" fontId="31" fillId="0" borderId="0" xfId="89" applyNumberFormat="1" applyFont="1" applyAlignment="1">
      <alignment horizontal="center"/>
    </xf>
    <xf numFmtId="10" fontId="31" fillId="0" borderId="23" xfId="89" applyNumberFormat="1" applyFont="1" applyBorder="1" applyAlignment="1">
      <alignment horizontal="center"/>
    </xf>
    <xf numFmtId="10" fontId="2" fillId="0" borderId="23" xfId="89" applyNumberFormat="1" applyBorder="1" applyAlignment="1">
      <alignment horizontal="center"/>
    </xf>
    <xf numFmtId="10" fontId="2" fillId="0" borderId="0" xfId="89" applyNumberFormat="1" applyAlignment="1">
      <alignment horizontal="center"/>
    </xf>
    <xf numFmtId="9" fontId="31" fillId="3" borderId="34" xfId="89" applyNumberFormat="1" applyFont="1" applyFill="1" applyBorder="1" applyAlignment="1">
      <alignment horizontal="center" vertical="center"/>
    </xf>
  </cellXfs>
  <cellStyles count="90">
    <cellStyle name="20% - Colore 1" xfId="1" xr:uid="{00000000-0005-0000-0000-000000000000}"/>
    <cellStyle name="20% - Colore 2" xfId="2" xr:uid="{00000000-0005-0000-0000-000001000000}"/>
    <cellStyle name="20% - Colore 3" xfId="3" xr:uid="{00000000-0005-0000-0000-000002000000}"/>
    <cellStyle name="20% - Colore 4" xfId="4" xr:uid="{00000000-0005-0000-0000-000003000000}"/>
    <cellStyle name="20% - Colore 5" xfId="5" xr:uid="{00000000-0005-0000-0000-000004000000}"/>
    <cellStyle name="20% - Colore 6" xfId="6" xr:uid="{00000000-0005-0000-0000-000005000000}"/>
    <cellStyle name="20% - Ênfase1" xfId="7" xr:uid="{00000000-0005-0000-0000-000006000000}"/>
    <cellStyle name="20% - Ênfase2" xfId="8" xr:uid="{00000000-0005-0000-0000-000007000000}"/>
    <cellStyle name="20% - Ênfase3" xfId="9" xr:uid="{00000000-0005-0000-0000-000008000000}"/>
    <cellStyle name="20% - Ênfase4" xfId="10" xr:uid="{00000000-0005-0000-0000-000009000000}"/>
    <cellStyle name="20% - Ênfase5" xfId="11" xr:uid="{00000000-0005-0000-0000-00000A000000}"/>
    <cellStyle name="20% - Ênfase6" xfId="12" xr:uid="{00000000-0005-0000-0000-00000B000000}"/>
    <cellStyle name="40% - Colore 1" xfId="13" xr:uid="{00000000-0005-0000-0000-00000C000000}"/>
    <cellStyle name="40% - Colore 2" xfId="14" xr:uid="{00000000-0005-0000-0000-00000D000000}"/>
    <cellStyle name="40% - Colore 3" xfId="15" xr:uid="{00000000-0005-0000-0000-00000E000000}"/>
    <cellStyle name="40% - Colore 4" xfId="16" xr:uid="{00000000-0005-0000-0000-00000F000000}"/>
    <cellStyle name="40% - Colore 5" xfId="17" xr:uid="{00000000-0005-0000-0000-000010000000}"/>
    <cellStyle name="40% - Colore 6" xfId="18" xr:uid="{00000000-0005-0000-0000-000011000000}"/>
    <cellStyle name="40% - Ênfase1" xfId="19" xr:uid="{00000000-0005-0000-0000-000012000000}"/>
    <cellStyle name="40% - Ênfase2" xfId="20" xr:uid="{00000000-0005-0000-0000-000013000000}"/>
    <cellStyle name="40% - Ênfase3" xfId="21" xr:uid="{00000000-0005-0000-0000-000014000000}"/>
    <cellStyle name="40% - Ênfase4" xfId="22" xr:uid="{00000000-0005-0000-0000-000015000000}"/>
    <cellStyle name="40% - Ênfase5" xfId="23" xr:uid="{00000000-0005-0000-0000-000016000000}"/>
    <cellStyle name="40% - Ênfase6" xfId="24" xr:uid="{00000000-0005-0000-0000-000017000000}"/>
    <cellStyle name="60% - Colore 1" xfId="25" xr:uid="{00000000-0005-0000-0000-000018000000}"/>
    <cellStyle name="60% - Colore 2" xfId="26" xr:uid="{00000000-0005-0000-0000-000019000000}"/>
    <cellStyle name="60% - Colore 3" xfId="27" xr:uid="{00000000-0005-0000-0000-00001A000000}"/>
    <cellStyle name="60% - Colore 4" xfId="28" xr:uid="{00000000-0005-0000-0000-00001B000000}"/>
    <cellStyle name="60% - Colore 5" xfId="29" xr:uid="{00000000-0005-0000-0000-00001C000000}"/>
    <cellStyle name="60% - Colore 6" xfId="30" xr:uid="{00000000-0005-0000-0000-00001D000000}"/>
    <cellStyle name="60% - Ênfase1" xfId="31" xr:uid="{00000000-0005-0000-0000-00001E000000}"/>
    <cellStyle name="60% - Ênfase2" xfId="32" xr:uid="{00000000-0005-0000-0000-00001F000000}"/>
    <cellStyle name="60% - Ênfase3" xfId="33" xr:uid="{00000000-0005-0000-0000-000020000000}"/>
    <cellStyle name="60% - Ênfase4" xfId="34" xr:uid="{00000000-0005-0000-0000-000021000000}"/>
    <cellStyle name="60% - Ênfase5" xfId="35" xr:uid="{00000000-0005-0000-0000-000022000000}"/>
    <cellStyle name="60% - Ênfase6" xfId="36" xr:uid="{00000000-0005-0000-0000-000023000000}"/>
    <cellStyle name="Bom" xfId="37" xr:uid="{00000000-0005-0000-0000-000024000000}"/>
    <cellStyle name="Calcolo" xfId="38" xr:uid="{00000000-0005-0000-0000-000025000000}"/>
    <cellStyle name="Cálculo" xfId="39" xr:uid="{00000000-0005-0000-0000-000026000000}"/>
    <cellStyle name="cBMilliers" xfId="40" xr:uid="{00000000-0005-0000-0000-000027000000}"/>
    <cellStyle name="cBMilliers-" xfId="41" xr:uid="{00000000-0005-0000-0000-000028000000}"/>
    <cellStyle name="Cella collegata" xfId="42" xr:uid="{00000000-0005-0000-0000-000029000000}"/>
    <cellStyle name="Cella da controllare" xfId="43" xr:uid="{00000000-0005-0000-0000-00002A000000}"/>
    <cellStyle name="Célula de Verificação" xfId="44" xr:uid="{00000000-0005-0000-0000-00002B000000}"/>
    <cellStyle name="Célula Vinculada" xfId="45" xr:uid="{00000000-0005-0000-0000-00002C000000}"/>
    <cellStyle name="Colore 1" xfId="46" xr:uid="{00000000-0005-0000-0000-00002D000000}"/>
    <cellStyle name="Colore 2" xfId="47" xr:uid="{00000000-0005-0000-0000-00002E000000}"/>
    <cellStyle name="Colore 3" xfId="48" xr:uid="{00000000-0005-0000-0000-00002F000000}"/>
    <cellStyle name="Colore 4" xfId="49" xr:uid="{00000000-0005-0000-0000-000030000000}"/>
    <cellStyle name="Colore 5" xfId="50" xr:uid="{00000000-0005-0000-0000-000031000000}"/>
    <cellStyle name="Colore 6" xfId="51" xr:uid="{00000000-0005-0000-0000-000032000000}"/>
    <cellStyle name="Comma 2" xfId="52" xr:uid="{00000000-0005-0000-0000-000033000000}"/>
    <cellStyle name="Ênfase1" xfId="53" xr:uid="{00000000-0005-0000-0000-000034000000}"/>
    <cellStyle name="Ênfase2" xfId="54" xr:uid="{00000000-0005-0000-0000-000035000000}"/>
    <cellStyle name="Ênfase3" xfId="55" xr:uid="{00000000-0005-0000-0000-000036000000}"/>
    <cellStyle name="Ênfase4" xfId="56" xr:uid="{00000000-0005-0000-0000-000037000000}"/>
    <cellStyle name="Ênfase5" xfId="57" xr:uid="{00000000-0005-0000-0000-000038000000}"/>
    <cellStyle name="Ênfase6" xfId="58" xr:uid="{00000000-0005-0000-0000-000039000000}"/>
    <cellStyle name="Entrada" xfId="59" xr:uid="{00000000-0005-0000-0000-00003A000000}"/>
    <cellStyle name="Euro" xfId="60" xr:uid="{00000000-0005-0000-0000-00003B000000}"/>
    <cellStyle name="Incorreto" xfId="61" xr:uid="{00000000-0005-0000-0000-00003C000000}"/>
    <cellStyle name="Neutra" xfId="62" xr:uid="{00000000-0005-0000-0000-00003D000000}"/>
    <cellStyle name="Neutrale" xfId="63" xr:uid="{00000000-0005-0000-0000-00003E000000}"/>
    <cellStyle name="Normal 2" xfId="64" xr:uid="{00000000-0005-0000-0000-000040000000}"/>
    <cellStyle name="Normal 2 2" xfId="65" xr:uid="{00000000-0005-0000-0000-000041000000}"/>
    <cellStyle name="Normal 2 2 2" xfId="88" xr:uid="{CCAE3E48-0530-4605-A97B-115E007840AB}"/>
    <cellStyle name="Normal 2 3" xfId="66" xr:uid="{00000000-0005-0000-0000-000042000000}"/>
    <cellStyle name="Normal 3" xfId="84" xr:uid="{00000000-0005-0000-0000-000043000000}"/>
    <cellStyle name="Normal 4" xfId="86" xr:uid="{00000000-0005-0000-0000-000044000000}"/>
    <cellStyle name="Normal 5" xfId="87" xr:uid="{00000000-0005-0000-0000-000045000000}"/>
    <cellStyle name="Normale" xfId="0" builtinId="0"/>
    <cellStyle name="Normale 2" xfId="89" xr:uid="{FDE0A545-6D1F-471C-8068-595DFE7EA2AF}"/>
    <cellStyle name="Nota" xfId="85" xr:uid="{00000000-0005-0000-0000-000046000000}"/>
    <cellStyle name="Saída" xfId="67" xr:uid="{00000000-0005-0000-0000-000047000000}"/>
    <cellStyle name="Testo avviso" xfId="68" xr:uid="{00000000-0005-0000-0000-000048000000}"/>
    <cellStyle name="Testo descrittivo" xfId="69" xr:uid="{00000000-0005-0000-0000-000049000000}"/>
    <cellStyle name="Texto de Aviso" xfId="70" xr:uid="{00000000-0005-0000-0000-00004A000000}"/>
    <cellStyle name="Texto Explicativo" xfId="71" xr:uid="{00000000-0005-0000-0000-00004B000000}"/>
    <cellStyle name="Titolo" xfId="72" xr:uid="{00000000-0005-0000-0000-00004C000000}"/>
    <cellStyle name="Titolo 1" xfId="73" xr:uid="{00000000-0005-0000-0000-00004D000000}"/>
    <cellStyle name="Titolo 2" xfId="74" xr:uid="{00000000-0005-0000-0000-00004E000000}"/>
    <cellStyle name="Titolo 3" xfId="75" xr:uid="{00000000-0005-0000-0000-00004F000000}"/>
    <cellStyle name="Titolo 4" xfId="76" xr:uid="{00000000-0005-0000-0000-000050000000}"/>
    <cellStyle name="Título" xfId="77" xr:uid="{00000000-0005-0000-0000-000051000000}"/>
    <cellStyle name="Título 1" xfId="78" xr:uid="{00000000-0005-0000-0000-000052000000}"/>
    <cellStyle name="Título 2" xfId="79" xr:uid="{00000000-0005-0000-0000-000053000000}"/>
    <cellStyle name="Título 3" xfId="80" xr:uid="{00000000-0005-0000-0000-000054000000}"/>
    <cellStyle name="Título 4" xfId="81" xr:uid="{00000000-0005-0000-0000-000055000000}"/>
    <cellStyle name="Valore non valido" xfId="82" xr:uid="{00000000-0005-0000-0000-000056000000}"/>
    <cellStyle name="Valore valido" xfId="83" xr:uid="{00000000-0005-0000-0000-00005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9"/>
  <sheetViews>
    <sheetView topLeftCell="A4" workbookViewId="0">
      <selection activeCell="D7" sqref="D7"/>
    </sheetView>
  </sheetViews>
  <sheetFormatPr defaultColWidth="9.140625" defaultRowHeight="15" x14ac:dyDescent="0.25"/>
  <cols>
    <col min="1" max="1" width="4.7109375" style="47" customWidth="1"/>
    <col min="2" max="2" width="12" style="47" customWidth="1"/>
    <col min="3" max="3" width="30" style="47" customWidth="1"/>
    <col min="4" max="4" width="35.7109375" style="47" customWidth="1"/>
    <col min="5" max="5" width="10" style="47" customWidth="1"/>
    <col min="6" max="6" width="13.140625" style="48" customWidth="1"/>
    <col min="7" max="7" width="12.28515625" style="47" customWidth="1"/>
    <col min="8" max="8" width="2.7109375" style="47" customWidth="1"/>
    <col min="9" max="9" width="17.85546875" style="85" customWidth="1"/>
    <col min="10" max="10" width="4.28515625" style="81" customWidth="1"/>
    <col min="11" max="16384" width="9.140625" style="47"/>
  </cols>
  <sheetData>
    <row r="2" spans="2:10" ht="15.75" x14ac:dyDescent="0.25">
      <c r="B2" s="46" t="s">
        <v>83</v>
      </c>
    </row>
    <row r="3" spans="2:10" ht="21" x14ac:dyDescent="0.35">
      <c r="B3" s="97" t="s">
        <v>5</v>
      </c>
    </row>
    <row r="4" spans="2:10" x14ac:dyDescent="0.25">
      <c r="B4" s="49"/>
      <c r="F4" s="58" t="s">
        <v>84</v>
      </c>
      <c r="I4" s="84">
        <v>2</v>
      </c>
    </row>
    <row r="6" spans="2:10" s="51" customFormat="1" x14ac:dyDescent="0.25">
      <c r="B6" s="50"/>
      <c r="C6" s="50" t="s">
        <v>85</v>
      </c>
      <c r="D6" s="50" t="s">
        <v>124</v>
      </c>
      <c r="E6" s="50" t="s">
        <v>86</v>
      </c>
      <c r="F6" s="48" t="s">
        <v>87</v>
      </c>
      <c r="G6" s="50" t="s">
        <v>88</v>
      </c>
      <c r="I6" s="82" t="s">
        <v>89</v>
      </c>
      <c r="J6" s="82"/>
    </row>
    <row r="7" spans="2:10" x14ac:dyDescent="0.25">
      <c r="B7" s="49"/>
      <c r="C7" s="49"/>
      <c r="D7" s="49"/>
      <c r="E7" s="49"/>
    </row>
    <row r="8" spans="2:10" ht="15.75" x14ac:dyDescent="0.25">
      <c r="B8" s="52">
        <v>1</v>
      </c>
      <c r="C8" s="46" t="s">
        <v>7</v>
      </c>
      <c r="D8" s="46"/>
      <c r="E8" s="52" t="s">
        <v>46</v>
      </c>
      <c r="F8" s="53">
        <v>151461</v>
      </c>
      <c r="G8" s="54">
        <f t="shared" ref="G8:G18" si="0">F8/$F$29</f>
        <v>6.975526407899342E-2</v>
      </c>
      <c r="I8" s="86">
        <f>$I$4*F8</f>
        <v>302922</v>
      </c>
      <c r="J8" s="83"/>
    </row>
    <row r="9" spans="2:10" ht="15.75" x14ac:dyDescent="0.25">
      <c r="B9" s="52">
        <v>2</v>
      </c>
      <c r="C9" s="46" t="s">
        <v>8</v>
      </c>
      <c r="D9" s="46"/>
      <c r="E9" s="52" t="s">
        <v>46</v>
      </c>
      <c r="F9" s="53">
        <v>151461</v>
      </c>
      <c r="G9" s="54">
        <f t="shared" si="0"/>
        <v>6.975526407899342E-2</v>
      </c>
      <c r="I9" s="86">
        <f t="shared" ref="I9:I19" si="1">$I$4*F9</f>
        <v>302922</v>
      </c>
      <c r="J9" s="83"/>
    </row>
    <row r="10" spans="2:10" ht="15.75" x14ac:dyDescent="0.25">
      <c r="B10" s="52">
        <v>3</v>
      </c>
      <c r="C10" s="46" t="s">
        <v>9</v>
      </c>
      <c r="D10" s="46"/>
      <c r="E10" s="52" t="s">
        <v>46</v>
      </c>
      <c r="F10" s="53">
        <v>151461</v>
      </c>
      <c r="G10" s="54">
        <f t="shared" si="0"/>
        <v>6.975526407899342E-2</v>
      </c>
      <c r="I10" s="86">
        <f t="shared" si="1"/>
        <v>302922</v>
      </c>
      <c r="J10" s="83"/>
    </row>
    <row r="11" spans="2:10" ht="15.75" x14ac:dyDescent="0.25">
      <c r="B11" s="52">
        <v>4</v>
      </c>
      <c r="C11" s="46" t="s">
        <v>10</v>
      </c>
      <c r="D11" s="46"/>
      <c r="E11" s="52" t="s">
        <v>46</v>
      </c>
      <c r="F11" s="53">
        <v>151461</v>
      </c>
      <c r="G11" s="54">
        <f t="shared" si="0"/>
        <v>6.975526407899342E-2</v>
      </c>
      <c r="I11" s="86">
        <f t="shared" si="1"/>
        <v>302922</v>
      </c>
      <c r="J11" s="83"/>
    </row>
    <row r="12" spans="2:10" ht="15.75" x14ac:dyDescent="0.25">
      <c r="B12" s="52">
        <v>5</v>
      </c>
      <c r="C12" s="46" t="s">
        <v>11</v>
      </c>
      <c r="D12" s="46"/>
      <c r="E12" s="52" t="s">
        <v>46</v>
      </c>
      <c r="F12" s="53">
        <v>151461</v>
      </c>
      <c r="G12" s="54">
        <f t="shared" si="0"/>
        <v>6.975526407899342E-2</v>
      </c>
      <c r="I12" s="86">
        <f t="shared" si="1"/>
        <v>302922</v>
      </c>
      <c r="J12" s="83"/>
    </row>
    <row r="13" spans="2:10" ht="15.75" x14ac:dyDescent="0.25">
      <c r="B13" s="52">
        <v>6</v>
      </c>
      <c r="C13" s="46" t="s">
        <v>16</v>
      </c>
      <c r="D13" s="46"/>
      <c r="E13" s="52" t="s">
        <v>46</v>
      </c>
      <c r="F13" s="53">
        <v>147915</v>
      </c>
      <c r="G13" s="54">
        <f t="shared" si="0"/>
        <v>6.8122156107805393E-2</v>
      </c>
      <c r="I13" s="86">
        <f t="shared" si="1"/>
        <v>295830</v>
      </c>
      <c r="J13" s="83"/>
    </row>
    <row r="14" spans="2:10" ht="15.75" x14ac:dyDescent="0.25">
      <c r="B14" s="52">
        <v>7</v>
      </c>
      <c r="C14" s="46" t="s">
        <v>15</v>
      </c>
      <c r="D14" s="46"/>
      <c r="E14" s="52" t="s">
        <v>46</v>
      </c>
      <c r="F14" s="53">
        <v>75733</v>
      </c>
      <c r="G14" s="54">
        <f t="shared" si="0"/>
        <v>3.4878783412854851E-2</v>
      </c>
      <c r="I14" s="86">
        <f t="shared" si="1"/>
        <v>151466</v>
      </c>
      <c r="J14" s="83"/>
    </row>
    <row r="15" spans="2:10" ht="15.75" x14ac:dyDescent="0.25">
      <c r="B15" s="52">
        <v>8</v>
      </c>
      <c r="C15" s="46" t="s">
        <v>14</v>
      </c>
      <c r="D15" s="46"/>
      <c r="E15" s="52" t="s">
        <v>46</v>
      </c>
      <c r="F15" s="53">
        <v>75733</v>
      </c>
      <c r="G15" s="54">
        <f t="shared" si="0"/>
        <v>3.4878783412854851E-2</v>
      </c>
      <c r="I15" s="86">
        <f t="shared" si="1"/>
        <v>151466</v>
      </c>
      <c r="J15" s="83"/>
    </row>
    <row r="16" spans="2:10" ht="15.75" x14ac:dyDescent="0.25">
      <c r="B16" s="52">
        <v>9</v>
      </c>
      <c r="C16" s="46" t="s">
        <v>12</v>
      </c>
      <c r="D16" s="46"/>
      <c r="E16" s="52" t="s">
        <v>46</v>
      </c>
      <c r="F16" s="53">
        <v>151461</v>
      </c>
      <c r="G16" s="54">
        <f t="shared" si="0"/>
        <v>6.975526407899342E-2</v>
      </c>
      <c r="I16" s="86">
        <f t="shared" si="1"/>
        <v>302922</v>
      </c>
      <c r="J16" s="83"/>
    </row>
    <row r="17" spans="2:10" ht="15.75" x14ac:dyDescent="0.25">
      <c r="B17" s="52">
        <v>10</v>
      </c>
      <c r="C17" s="46" t="s">
        <v>18</v>
      </c>
      <c r="D17" s="46"/>
      <c r="E17" s="52" t="s">
        <v>46</v>
      </c>
      <c r="F17" s="53">
        <v>151461</v>
      </c>
      <c r="G17" s="54">
        <f t="shared" si="0"/>
        <v>6.975526407899342E-2</v>
      </c>
      <c r="I17" s="86">
        <f t="shared" si="1"/>
        <v>302922</v>
      </c>
      <c r="J17" s="83"/>
    </row>
    <row r="18" spans="2:10" ht="15.75" x14ac:dyDescent="0.25">
      <c r="B18" s="52">
        <v>11</v>
      </c>
      <c r="C18" s="46" t="s">
        <v>13</v>
      </c>
      <c r="D18" s="46" t="s">
        <v>93</v>
      </c>
      <c r="E18" s="59" t="s">
        <v>46</v>
      </c>
      <c r="F18" s="56">
        <v>302933</v>
      </c>
      <c r="G18" s="60">
        <f t="shared" si="0"/>
        <v>0.13951559420076268</v>
      </c>
      <c r="I18" s="87">
        <f t="shared" si="1"/>
        <v>605866</v>
      </c>
      <c r="J18" s="83"/>
    </row>
    <row r="19" spans="2:10" ht="15.75" x14ac:dyDescent="0.25">
      <c r="B19" s="52"/>
      <c r="C19" s="46"/>
      <c r="D19" s="46"/>
      <c r="E19" s="46"/>
      <c r="F19" s="53">
        <f>SUM(F8:F18)</f>
        <v>1662541</v>
      </c>
      <c r="G19" s="54">
        <f>SUM(G8:G18)</f>
        <v>0.76568216568723169</v>
      </c>
      <c r="I19" s="86">
        <f t="shared" si="1"/>
        <v>3325082</v>
      </c>
      <c r="J19" s="83"/>
    </row>
    <row r="20" spans="2:10" ht="15.75" x14ac:dyDescent="0.25">
      <c r="B20" s="52"/>
      <c r="C20" s="46"/>
      <c r="D20" s="46"/>
      <c r="E20" s="46"/>
      <c r="F20" s="53"/>
      <c r="G20" s="54"/>
      <c r="I20" s="86"/>
      <c r="J20" s="83"/>
    </row>
    <row r="21" spans="2:10" ht="15.75" x14ac:dyDescent="0.25">
      <c r="B21" s="52">
        <v>12</v>
      </c>
      <c r="C21" s="46" t="s">
        <v>20</v>
      </c>
      <c r="D21" s="46"/>
      <c r="E21" s="52" t="s">
        <v>47</v>
      </c>
      <c r="F21" s="53">
        <v>67701</v>
      </c>
      <c r="G21" s="54">
        <f t="shared" ref="G21:G26" si="2">F21/$F$29</f>
        <v>3.1179651087817548E-2</v>
      </c>
      <c r="I21" s="86">
        <f t="shared" ref="I21:I27" si="3">$I$4*F21</f>
        <v>135402</v>
      </c>
      <c r="J21" s="83"/>
    </row>
    <row r="22" spans="2:10" ht="15.75" x14ac:dyDescent="0.25">
      <c r="B22" s="52">
        <v>13</v>
      </c>
      <c r="C22" s="46" t="s">
        <v>77</v>
      </c>
      <c r="D22" s="46"/>
      <c r="E22" s="52" t="s">
        <v>47</v>
      </c>
      <c r="F22" s="53">
        <v>40402</v>
      </c>
      <c r="G22" s="54">
        <f t="shared" si="2"/>
        <v>1.8607114566254628E-2</v>
      </c>
      <c r="I22" s="86">
        <f t="shared" si="3"/>
        <v>80804</v>
      </c>
      <c r="J22" s="83"/>
    </row>
    <row r="23" spans="2:10" ht="15.75" x14ac:dyDescent="0.25">
      <c r="B23" s="52">
        <v>14</v>
      </c>
      <c r="C23" s="46" t="s">
        <v>14</v>
      </c>
      <c r="D23" s="46"/>
      <c r="E23" s="52" t="s">
        <v>47</v>
      </c>
      <c r="F23" s="53">
        <v>40401</v>
      </c>
      <c r="G23" s="54">
        <f t="shared" si="2"/>
        <v>1.8606654016911372E-2</v>
      </c>
      <c r="I23" s="86">
        <f t="shared" si="3"/>
        <v>80802</v>
      </c>
      <c r="J23" s="83"/>
    </row>
    <row r="24" spans="2:10" ht="15.75" x14ac:dyDescent="0.25">
      <c r="B24" s="52">
        <v>15</v>
      </c>
      <c r="C24" s="46" t="s">
        <v>18</v>
      </c>
      <c r="D24" s="46"/>
      <c r="E24" s="52" t="s">
        <v>47</v>
      </c>
      <c r="F24" s="53">
        <v>73805</v>
      </c>
      <c r="G24" s="54">
        <f t="shared" si="2"/>
        <v>3.3990844279056055E-2</v>
      </c>
      <c r="I24" s="86">
        <f t="shared" si="3"/>
        <v>147610</v>
      </c>
      <c r="J24" s="83"/>
    </row>
    <row r="25" spans="2:10" ht="15.75" x14ac:dyDescent="0.25">
      <c r="B25" s="52">
        <v>16</v>
      </c>
      <c r="C25" s="46" t="s">
        <v>36</v>
      </c>
      <c r="D25" s="46"/>
      <c r="E25" s="52" t="s">
        <v>47</v>
      </c>
      <c r="F25" s="53">
        <v>180220</v>
      </c>
      <c r="G25" s="54">
        <f t="shared" si="2"/>
        <v>8.3000202641711027E-2</v>
      </c>
      <c r="I25" s="86">
        <f t="shared" si="3"/>
        <v>360440</v>
      </c>
      <c r="J25" s="83"/>
    </row>
    <row r="26" spans="2:10" ht="15.75" x14ac:dyDescent="0.25">
      <c r="B26" s="52">
        <v>17</v>
      </c>
      <c r="C26" s="46" t="s">
        <v>131</v>
      </c>
      <c r="D26" s="46" t="s">
        <v>91</v>
      </c>
      <c r="E26" s="59" t="s">
        <v>47</v>
      </c>
      <c r="F26" s="56">
        <v>106250</v>
      </c>
      <c r="G26" s="60">
        <f t="shared" si="2"/>
        <v>4.8933367721017633E-2</v>
      </c>
      <c r="I26" s="87">
        <f t="shared" si="3"/>
        <v>212500</v>
      </c>
      <c r="J26" s="83"/>
    </row>
    <row r="27" spans="2:10" ht="15.75" x14ac:dyDescent="0.25">
      <c r="B27" s="52"/>
      <c r="C27" s="46"/>
      <c r="D27" s="46"/>
      <c r="E27" s="46"/>
      <c r="F27" s="53">
        <f>SUM(F21:F26)</f>
        <v>508779</v>
      </c>
      <c r="G27" s="54">
        <f>SUM(G21:G26)</f>
        <v>0.23431783431276826</v>
      </c>
      <c r="I27" s="86">
        <f t="shared" si="3"/>
        <v>1017558</v>
      </c>
      <c r="J27" s="83"/>
    </row>
    <row r="28" spans="2:10" ht="15.75" x14ac:dyDescent="0.25">
      <c r="B28" s="55" t="s">
        <v>92</v>
      </c>
      <c r="C28" s="55"/>
      <c r="D28" s="55"/>
      <c r="E28" s="55"/>
      <c r="F28" s="56"/>
      <c r="G28" s="57"/>
      <c r="I28" s="87"/>
      <c r="J28" s="83"/>
    </row>
    <row r="29" spans="2:10" ht="15.75" x14ac:dyDescent="0.25">
      <c r="B29" s="89">
        <v>0.3</v>
      </c>
      <c r="C29" s="90" t="s">
        <v>125</v>
      </c>
      <c r="D29" s="91" t="s">
        <v>41</v>
      </c>
      <c r="E29" s="55"/>
      <c r="F29" s="53">
        <f>F19+F27</f>
        <v>2171320</v>
      </c>
      <c r="G29" s="54">
        <f>G19+G27</f>
        <v>1</v>
      </c>
      <c r="I29" s="86">
        <f>I19+I27</f>
        <v>4342640</v>
      </c>
      <c r="J29" s="83"/>
    </row>
    <row r="30" spans="2:10" x14ac:dyDescent="0.25">
      <c r="B30" s="92">
        <v>0.3</v>
      </c>
      <c r="C30" s="2" t="s">
        <v>126</v>
      </c>
      <c r="D30" s="93" t="s">
        <v>41</v>
      </c>
    </row>
    <row r="31" spans="2:10" x14ac:dyDescent="0.25">
      <c r="B31" s="94">
        <v>0.4</v>
      </c>
      <c r="C31" s="95" t="s">
        <v>127</v>
      </c>
      <c r="D31" s="96" t="s">
        <v>41</v>
      </c>
    </row>
    <row r="35" spans="2:5" x14ac:dyDescent="0.25">
      <c r="B35" s="47" t="s">
        <v>52</v>
      </c>
      <c r="E35" s="47" t="s">
        <v>53</v>
      </c>
    </row>
    <row r="36" spans="2:5" x14ac:dyDescent="0.25">
      <c r="B36" s="49" t="s">
        <v>54</v>
      </c>
      <c r="C36" s="49"/>
      <c r="D36" s="49"/>
      <c r="E36" s="58" t="s">
        <v>56</v>
      </c>
    </row>
    <row r="37" spans="2:5" x14ac:dyDescent="0.25">
      <c r="B37" s="49" t="s">
        <v>55</v>
      </c>
      <c r="C37" s="49"/>
      <c r="D37" s="49"/>
      <c r="E37" s="49" t="s">
        <v>55</v>
      </c>
    </row>
    <row r="39" spans="2:5" x14ac:dyDescent="0.25">
      <c r="B39" s="49" t="s">
        <v>82</v>
      </c>
      <c r="C39" s="88" t="s">
        <v>90</v>
      </c>
    </row>
  </sheetData>
  <pageMargins left="0.25" right="0.25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33"/>
  <sheetViews>
    <sheetView zoomScale="90" workbookViewId="0">
      <selection activeCell="S26" sqref="S26"/>
    </sheetView>
  </sheetViews>
  <sheetFormatPr defaultColWidth="9.140625" defaultRowHeight="12.75" x14ac:dyDescent="0.2"/>
  <cols>
    <col min="1" max="1" width="2.140625" customWidth="1"/>
    <col min="2" max="2" width="5.28515625" style="1" customWidth="1"/>
    <col min="3" max="3" width="23" customWidth="1"/>
    <col min="4" max="4" width="14.42578125" style="2" customWidth="1"/>
    <col min="5" max="5" width="7.7109375" style="2" customWidth="1"/>
    <col min="6" max="6" width="19.140625" style="2" customWidth="1"/>
    <col min="7" max="7" width="12.28515625" style="2" customWidth="1"/>
    <col min="8" max="8" width="7.42578125" style="2" customWidth="1"/>
    <col min="9" max="9" width="16.5703125" style="2" customWidth="1"/>
    <col min="10" max="10" width="12.85546875" style="2" customWidth="1"/>
    <col min="11" max="11" width="15.42578125" style="2" customWidth="1"/>
    <col min="12" max="12" width="16.5703125" style="2" customWidth="1"/>
    <col min="13" max="13" width="12.85546875" style="2" customWidth="1"/>
    <col min="14" max="14" width="23.85546875" style="2" customWidth="1"/>
    <col min="15" max="15" width="2.140625" customWidth="1"/>
    <col min="16" max="16" width="2.28515625" customWidth="1"/>
  </cols>
  <sheetData>
    <row r="1" spans="2:16" ht="13.5" thickBot="1" x14ac:dyDescent="0.25"/>
    <row r="2" spans="2:16" ht="15.75" x14ac:dyDescent="0.25">
      <c r="B2" s="3"/>
      <c r="C2" s="4" t="s">
        <v>22</v>
      </c>
      <c r="D2" s="5"/>
      <c r="E2" s="5"/>
      <c r="F2" s="5"/>
      <c r="G2" s="5"/>
      <c r="H2" s="5"/>
      <c r="I2" s="24" t="s">
        <v>32</v>
      </c>
      <c r="J2" s="5"/>
      <c r="K2" s="24"/>
      <c r="L2" s="24" t="s">
        <v>32</v>
      </c>
      <c r="M2" s="5"/>
      <c r="N2" s="33">
        <v>2171320</v>
      </c>
      <c r="O2" s="6"/>
    </row>
    <row r="3" spans="2:16" ht="15.75" x14ac:dyDescent="0.25">
      <c r="B3" s="25"/>
      <c r="C3" s="26" t="s">
        <v>5</v>
      </c>
      <c r="D3" s="27"/>
      <c r="E3" s="27"/>
      <c r="F3" s="27"/>
      <c r="G3" s="27"/>
      <c r="H3" s="43"/>
      <c r="I3" s="28" t="s">
        <v>38</v>
      </c>
      <c r="J3" s="27"/>
      <c r="K3" s="28"/>
      <c r="L3" s="28" t="s">
        <v>38</v>
      </c>
      <c r="M3" s="27"/>
      <c r="N3" s="34">
        <f>N2*N4</f>
        <v>4342640</v>
      </c>
      <c r="O3" s="29"/>
    </row>
    <row r="4" spans="2:16" ht="16.5" thickBot="1" x14ac:dyDescent="0.3">
      <c r="B4" s="25"/>
      <c r="C4" s="27" t="s">
        <v>37</v>
      </c>
      <c r="D4" s="26"/>
      <c r="E4" s="26"/>
      <c r="F4" s="26"/>
      <c r="G4" s="26"/>
      <c r="H4" s="26"/>
      <c r="I4" s="28" t="s">
        <v>33</v>
      </c>
      <c r="J4" s="27"/>
      <c r="K4" s="28"/>
      <c r="L4" s="28" t="s">
        <v>33</v>
      </c>
      <c r="M4" s="27"/>
      <c r="N4" s="34">
        <v>2</v>
      </c>
      <c r="O4" s="29"/>
    </row>
    <row r="5" spans="2:16" s="32" customFormat="1" ht="16.5" customHeight="1" x14ac:dyDescent="0.2">
      <c r="B5" s="38" t="s">
        <v>1</v>
      </c>
      <c r="C5" s="39" t="s">
        <v>23</v>
      </c>
      <c r="D5" s="39" t="s">
        <v>25</v>
      </c>
      <c r="E5" s="39" t="s">
        <v>4</v>
      </c>
      <c r="F5" s="39" t="s">
        <v>45</v>
      </c>
      <c r="G5" s="39" t="s">
        <v>25</v>
      </c>
      <c r="H5" s="39" t="s">
        <v>49</v>
      </c>
      <c r="I5" s="39" t="s">
        <v>26</v>
      </c>
      <c r="J5" s="39" t="s">
        <v>4</v>
      </c>
      <c r="K5" s="39" t="s">
        <v>76</v>
      </c>
      <c r="L5" s="39" t="s">
        <v>26</v>
      </c>
      <c r="M5" s="39" t="s">
        <v>4</v>
      </c>
      <c r="N5" s="39" t="s">
        <v>29</v>
      </c>
      <c r="O5" s="40"/>
    </row>
    <row r="6" spans="2:16" ht="18" customHeight="1" x14ac:dyDescent="0.2">
      <c r="B6" s="11">
        <v>1</v>
      </c>
      <c r="C6" s="2" t="s">
        <v>7</v>
      </c>
      <c r="D6" s="2" t="s">
        <v>28</v>
      </c>
      <c r="F6" s="12"/>
      <c r="G6" s="30"/>
      <c r="H6" s="30" t="s">
        <v>46</v>
      </c>
      <c r="I6" s="12">
        <v>147915</v>
      </c>
      <c r="J6" s="30">
        <f t="shared" ref="J6:J16" si="0">I6/$I$29</f>
        <v>6.9607058823529411E-2</v>
      </c>
      <c r="K6" s="12">
        <v>3546</v>
      </c>
      <c r="L6" s="12">
        <f>I6+K6</f>
        <v>151461</v>
      </c>
      <c r="M6" s="30">
        <f>L6/$L$29</f>
        <v>6.975526407899342E-2</v>
      </c>
      <c r="N6" s="2" t="s">
        <v>50</v>
      </c>
      <c r="O6" s="37"/>
      <c r="P6" s="14"/>
    </row>
    <row r="7" spans="2:16" ht="18" customHeight="1" x14ac:dyDescent="0.2">
      <c r="B7" s="11">
        <v>2</v>
      </c>
      <c r="C7" s="2" t="s">
        <v>8</v>
      </c>
      <c r="D7" s="2" t="s">
        <v>28</v>
      </c>
      <c r="F7" s="12"/>
      <c r="G7" s="30"/>
      <c r="H7" s="30" t="s">
        <v>46</v>
      </c>
      <c r="I7" s="12">
        <v>147915</v>
      </c>
      <c r="J7" s="30">
        <f t="shared" si="0"/>
        <v>6.9607058823529411E-2</v>
      </c>
      <c r="K7" s="12">
        <v>3546</v>
      </c>
      <c r="L7" s="12">
        <f t="shared" ref="L7:L16" si="1">I7+K7</f>
        <v>151461</v>
      </c>
      <c r="M7" s="30">
        <f t="shared" ref="M7:M16" si="2">L7/$L$29</f>
        <v>6.975526407899342E-2</v>
      </c>
      <c r="N7" s="2" t="s">
        <v>50</v>
      </c>
      <c r="O7" s="37"/>
      <c r="P7" s="14"/>
    </row>
    <row r="8" spans="2:16" ht="18" customHeight="1" x14ac:dyDescent="0.2">
      <c r="B8" s="11">
        <v>3</v>
      </c>
      <c r="C8" s="2" t="s">
        <v>9</v>
      </c>
      <c r="D8" s="2" t="s">
        <v>28</v>
      </c>
      <c r="F8" s="12"/>
      <c r="G8" s="30"/>
      <c r="H8" s="30" t="s">
        <v>46</v>
      </c>
      <c r="I8" s="12">
        <v>147915</v>
      </c>
      <c r="J8" s="30">
        <f t="shared" si="0"/>
        <v>6.9607058823529411E-2</v>
      </c>
      <c r="K8" s="12">
        <v>3546</v>
      </c>
      <c r="L8" s="12">
        <f t="shared" si="1"/>
        <v>151461</v>
      </c>
      <c r="M8" s="30">
        <f t="shared" si="2"/>
        <v>6.975526407899342E-2</v>
      </c>
      <c r="N8" s="2" t="s">
        <v>50</v>
      </c>
      <c r="O8" s="37"/>
      <c r="P8" s="14"/>
    </row>
    <row r="9" spans="2:16" ht="18" customHeight="1" x14ac:dyDescent="0.2">
      <c r="B9" s="11">
        <v>4</v>
      </c>
      <c r="C9" s="2" t="s">
        <v>10</v>
      </c>
      <c r="D9" s="2" t="s">
        <v>28</v>
      </c>
      <c r="F9" s="12"/>
      <c r="G9" s="30"/>
      <c r="H9" s="30" t="s">
        <v>46</v>
      </c>
      <c r="I9" s="12">
        <v>147915</v>
      </c>
      <c r="J9" s="30">
        <f t="shared" si="0"/>
        <v>6.9607058823529411E-2</v>
      </c>
      <c r="K9" s="12">
        <v>3546</v>
      </c>
      <c r="L9" s="12">
        <f t="shared" si="1"/>
        <v>151461</v>
      </c>
      <c r="M9" s="30">
        <f t="shared" si="2"/>
        <v>6.975526407899342E-2</v>
      </c>
      <c r="N9" s="2" t="s">
        <v>50</v>
      </c>
      <c r="O9" s="37"/>
      <c r="P9" s="14"/>
    </row>
    <row r="10" spans="2:16" ht="18" customHeight="1" x14ac:dyDescent="0.2">
      <c r="B10" s="11">
        <v>5</v>
      </c>
      <c r="C10" s="2" t="s">
        <v>11</v>
      </c>
      <c r="D10" s="2" t="s">
        <v>28</v>
      </c>
      <c r="F10" s="12"/>
      <c r="G10" s="30"/>
      <c r="H10" s="30" t="s">
        <v>46</v>
      </c>
      <c r="I10" s="12">
        <v>147915</v>
      </c>
      <c r="J10" s="30">
        <f t="shared" si="0"/>
        <v>6.9607058823529411E-2</v>
      </c>
      <c r="K10" s="12">
        <v>3546</v>
      </c>
      <c r="L10" s="12">
        <f t="shared" si="1"/>
        <v>151461</v>
      </c>
      <c r="M10" s="30">
        <f t="shared" si="2"/>
        <v>6.975526407899342E-2</v>
      </c>
      <c r="N10" s="2" t="s">
        <v>50</v>
      </c>
      <c r="O10" s="37"/>
      <c r="P10" s="14"/>
    </row>
    <row r="11" spans="2:16" ht="18" customHeight="1" x14ac:dyDescent="0.2">
      <c r="B11" s="11">
        <v>6</v>
      </c>
      <c r="C11" s="2" t="s">
        <v>16</v>
      </c>
      <c r="D11" s="2" t="s">
        <v>17</v>
      </c>
      <c r="F11" s="12"/>
      <c r="G11" s="30"/>
      <c r="H11" s="30" t="s">
        <v>46</v>
      </c>
      <c r="I11" s="12">
        <v>147915</v>
      </c>
      <c r="J11" s="30">
        <f t="shared" si="0"/>
        <v>6.9607058823529411E-2</v>
      </c>
      <c r="K11" s="12">
        <v>0</v>
      </c>
      <c r="L11" s="12">
        <f t="shared" si="1"/>
        <v>147915</v>
      </c>
      <c r="M11" s="30">
        <f t="shared" si="2"/>
        <v>6.8122156107805393E-2</v>
      </c>
      <c r="N11" s="2" t="s">
        <v>50</v>
      </c>
      <c r="O11" s="37"/>
      <c r="P11" s="14"/>
    </row>
    <row r="12" spans="2:16" ht="18" customHeight="1" x14ac:dyDescent="0.2">
      <c r="B12" s="11">
        <v>7</v>
      </c>
      <c r="C12" s="2" t="s">
        <v>15</v>
      </c>
      <c r="D12" s="2" t="s">
        <v>28</v>
      </c>
      <c r="F12" s="12"/>
      <c r="G12" s="30"/>
      <c r="H12" s="30" t="s">
        <v>46</v>
      </c>
      <c r="I12" s="12">
        <v>73960</v>
      </c>
      <c r="J12" s="30">
        <f t="shared" si="0"/>
        <v>3.4804705882352939E-2</v>
      </c>
      <c r="K12" s="12">
        <v>1773</v>
      </c>
      <c r="L12" s="12">
        <f t="shared" si="1"/>
        <v>75733</v>
      </c>
      <c r="M12" s="30">
        <f t="shared" si="2"/>
        <v>3.4878783412854851E-2</v>
      </c>
      <c r="N12" s="2" t="s">
        <v>50</v>
      </c>
      <c r="O12" s="37"/>
      <c r="P12" s="14"/>
    </row>
    <row r="13" spans="2:16" ht="18" customHeight="1" x14ac:dyDescent="0.2">
      <c r="B13" s="11">
        <v>8</v>
      </c>
      <c r="C13" s="2" t="s">
        <v>14</v>
      </c>
      <c r="D13" s="2" t="s">
        <v>28</v>
      </c>
      <c r="F13" s="12"/>
      <c r="G13" s="30"/>
      <c r="H13" s="30" t="s">
        <v>46</v>
      </c>
      <c r="I13" s="12">
        <v>73960</v>
      </c>
      <c r="J13" s="30">
        <f t="shared" si="0"/>
        <v>3.4804705882352939E-2</v>
      </c>
      <c r="K13" s="12">
        <v>1773</v>
      </c>
      <c r="L13" s="12">
        <f t="shared" si="1"/>
        <v>75733</v>
      </c>
      <c r="M13" s="30">
        <f t="shared" si="2"/>
        <v>3.4878783412854851E-2</v>
      </c>
      <c r="N13" s="2" t="s">
        <v>50</v>
      </c>
      <c r="O13" s="37"/>
      <c r="P13" s="14"/>
    </row>
    <row r="14" spans="2:16" ht="18" customHeight="1" x14ac:dyDescent="0.2">
      <c r="B14" s="11">
        <v>9</v>
      </c>
      <c r="C14" s="2" t="s">
        <v>12</v>
      </c>
      <c r="D14" s="2" t="s">
        <v>28</v>
      </c>
      <c r="F14" s="12"/>
      <c r="G14" s="30"/>
      <c r="H14" s="30" t="s">
        <v>46</v>
      </c>
      <c r="I14" s="12">
        <v>147915</v>
      </c>
      <c r="J14" s="30">
        <f t="shared" si="0"/>
        <v>6.9607058823529411E-2</v>
      </c>
      <c r="K14" s="12">
        <v>3546</v>
      </c>
      <c r="L14" s="12">
        <f t="shared" si="1"/>
        <v>151461</v>
      </c>
      <c r="M14" s="30">
        <f t="shared" si="2"/>
        <v>6.975526407899342E-2</v>
      </c>
      <c r="N14" s="2" t="s">
        <v>50</v>
      </c>
      <c r="O14" s="37"/>
      <c r="P14" s="14"/>
    </row>
    <row r="15" spans="2:16" ht="18" customHeight="1" x14ac:dyDescent="0.2">
      <c r="B15" s="11">
        <v>10</v>
      </c>
      <c r="C15" s="2" t="s">
        <v>18</v>
      </c>
      <c r="D15" s="2" t="s">
        <v>19</v>
      </c>
      <c r="F15" s="12"/>
      <c r="G15" s="30"/>
      <c r="H15" s="30" t="s">
        <v>46</v>
      </c>
      <c r="I15" s="12">
        <v>147915</v>
      </c>
      <c r="J15" s="30">
        <f t="shared" si="0"/>
        <v>6.9607058823529411E-2</v>
      </c>
      <c r="K15" s="12">
        <v>3546</v>
      </c>
      <c r="L15" s="12">
        <f t="shared" si="1"/>
        <v>151461</v>
      </c>
      <c r="M15" s="30">
        <f t="shared" si="2"/>
        <v>6.975526407899342E-2</v>
      </c>
      <c r="N15" s="2" t="s">
        <v>50</v>
      </c>
      <c r="O15" s="37"/>
      <c r="P15" s="14"/>
    </row>
    <row r="16" spans="2:16" ht="18" customHeight="1" x14ac:dyDescent="0.2">
      <c r="B16" s="11">
        <v>11</v>
      </c>
      <c r="C16" s="2" t="s">
        <v>13</v>
      </c>
      <c r="D16" s="2" t="s">
        <v>28</v>
      </c>
      <c r="E16" s="61">
        <v>1</v>
      </c>
      <c r="F16" s="12" t="s">
        <v>43</v>
      </c>
      <c r="G16" s="41" t="s">
        <v>28</v>
      </c>
      <c r="H16" s="44" t="s">
        <v>46</v>
      </c>
      <c r="I16" s="64">
        <v>295835</v>
      </c>
      <c r="J16" s="44">
        <f t="shared" si="0"/>
        <v>0.1392164705882353</v>
      </c>
      <c r="K16" s="64">
        <v>7098</v>
      </c>
      <c r="L16" s="64">
        <f t="shared" si="1"/>
        <v>302933</v>
      </c>
      <c r="M16" s="44">
        <f t="shared" si="2"/>
        <v>0.13951559420076268</v>
      </c>
      <c r="N16" s="2" t="s">
        <v>50</v>
      </c>
      <c r="O16" s="37"/>
      <c r="P16" s="14"/>
    </row>
    <row r="17" spans="2:16" ht="18" customHeight="1" x14ac:dyDescent="0.25">
      <c r="B17" s="11"/>
      <c r="C17" s="2"/>
      <c r="F17" s="12"/>
      <c r="G17" s="41"/>
      <c r="H17" s="45" t="s">
        <v>46</v>
      </c>
      <c r="I17" s="65">
        <f>SUM(I6:I16)</f>
        <v>1627075</v>
      </c>
      <c r="J17" s="45">
        <f>SUM(J6:J16)</f>
        <v>0.76568235294117648</v>
      </c>
      <c r="K17" s="65">
        <f>SUM(K6:K16)</f>
        <v>35466</v>
      </c>
      <c r="L17" s="65">
        <f>SUM(L6:L16)</f>
        <v>1662541</v>
      </c>
      <c r="M17" s="45">
        <f>SUM(M6:M16)</f>
        <v>0.76568216568723169</v>
      </c>
      <c r="O17" s="37"/>
      <c r="P17" s="14"/>
    </row>
    <row r="18" spans="2:16" ht="18" customHeight="1" x14ac:dyDescent="0.2">
      <c r="B18" s="11"/>
      <c r="C18" s="2"/>
      <c r="F18" s="12"/>
      <c r="G18" s="41"/>
      <c r="H18" s="30"/>
      <c r="I18" s="12"/>
      <c r="J18" s="30"/>
      <c r="K18" s="12"/>
      <c r="L18" s="12"/>
      <c r="M18" s="30"/>
      <c r="O18" s="37"/>
      <c r="P18" s="14"/>
    </row>
    <row r="19" spans="2:16" ht="18" customHeight="1" x14ac:dyDescent="0.2">
      <c r="B19" s="11">
        <v>12</v>
      </c>
      <c r="C19" s="2" t="s">
        <v>20</v>
      </c>
      <c r="D19" s="2" t="s">
        <v>28</v>
      </c>
      <c r="H19" s="30" t="s">
        <v>47</v>
      </c>
      <c r="I19" s="12">
        <v>65875</v>
      </c>
      <c r="J19" s="30">
        <f t="shared" ref="J19:J25" si="3">I19/$I$29</f>
        <v>3.1E-2</v>
      </c>
      <c r="K19" s="12">
        <v>1826</v>
      </c>
      <c r="L19" s="12">
        <f t="shared" ref="L19:L25" si="4">I19+K19</f>
        <v>67701</v>
      </c>
      <c r="M19" s="30">
        <f t="shared" ref="M19:M25" si="5">L19/$L$29</f>
        <v>3.1179651087817548E-2</v>
      </c>
      <c r="N19" s="2" t="s">
        <v>51</v>
      </c>
      <c r="O19" s="15"/>
    </row>
    <row r="20" spans="2:16" ht="18" customHeight="1" x14ac:dyDescent="0.2">
      <c r="B20" s="11">
        <v>13</v>
      </c>
      <c r="C20" s="2" t="s">
        <v>77</v>
      </c>
      <c r="D20" s="2" t="s">
        <v>41</v>
      </c>
      <c r="H20" s="30" t="s">
        <v>47</v>
      </c>
      <c r="I20" s="12">
        <v>39313</v>
      </c>
      <c r="J20" s="30">
        <f t="shared" si="3"/>
        <v>1.8500235294117647E-2</v>
      </c>
      <c r="K20" s="12">
        <v>1089</v>
      </c>
      <c r="L20" s="12">
        <f t="shared" si="4"/>
        <v>40402</v>
      </c>
      <c r="M20" s="30">
        <f t="shared" si="5"/>
        <v>1.8607114566254628E-2</v>
      </c>
      <c r="N20" s="2" t="s">
        <v>50</v>
      </c>
      <c r="O20" s="15"/>
    </row>
    <row r="21" spans="2:16" ht="18" customHeight="1" x14ac:dyDescent="0.2">
      <c r="B21" s="11">
        <v>14</v>
      </c>
      <c r="C21" s="2" t="s">
        <v>14</v>
      </c>
      <c r="D21" s="2" t="s">
        <v>28</v>
      </c>
      <c r="H21" s="30" t="s">
        <v>47</v>
      </c>
      <c r="I21" s="12">
        <v>39312</v>
      </c>
      <c r="J21" s="30">
        <f t="shared" si="3"/>
        <v>1.8499764705882354E-2</v>
      </c>
      <c r="K21" s="12">
        <v>1089</v>
      </c>
      <c r="L21" s="12">
        <f t="shared" si="4"/>
        <v>40401</v>
      </c>
      <c r="M21" s="30">
        <f t="shared" si="5"/>
        <v>1.8606654016911372E-2</v>
      </c>
      <c r="N21" s="2" t="s">
        <v>50</v>
      </c>
      <c r="O21" s="15"/>
    </row>
    <row r="22" spans="2:16" ht="18" customHeight="1" x14ac:dyDescent="0.2">
      <c r="B22" s="11">
        <v>15</v>
      </c>
      <c r="C22" s="2" t="s">
        <v>18</v>
      </c>
      <c r="D22" s="2" t="s">
        <v>19</v>
      </c>
      <c r="F22" s="2" t="s">
        <v>78</v>
      </c>
      <c r="H22" s="30" t="s">
        <v>47</v>
      </c>
      <c r="I22" s="12">
        <v>70800</v>
      </c>
      <c r="J22" s="30">
        <f t="shared" si="3"/>
        <v>3.3317647058823528E-2</v>
      </c>
      <c r="K22" s="12">
        <v>0</v>
      </c>
      <c r="L22" s="12">
        <f t="shared" si="4"/>
        <v>70800</v>
      </c>
      <c r="M22" s="30">
        <f t="shared" si="5"/>
        <v>3.2606893502569866E-2</v>
      </c>
      <c r="N22" s="2" t="s">
        <v>50</v>
      </c>
      <c r="O22" s="15"/>
    </row>
    <row r="23" spans="2:16" ht="18" customHeight="1" x14ac:dyDescent="0.2">
      <c r="B23" s="11">
        <v>15</v>
      </c>
      <c r="C23" s="2" t="s">
        <v>18</v>
      </c>
      <c r="D23" s="2" t="s">
        <v>19</v>
      </c>
      <c r="H23" s="30" t="s">
        <v>47</v>
      </c>
      <c r="I23" s="12">
        <v>0</v>
      </c>
      <c r="J23" s="30">
        <f t="shared" ref="J23" si="6">I23/$I$29</f>
        <v>0</v>
      </c>
      <c r="K23" s="12">
        <v>3005</v>
      </c>
      <c r="L23" s="12">
        <f t="shared" ref="L23" si="7">I23+K23</f>
        <v>3005</v>
      </c>
      <c r="M23" s="30">
        <f t="shared" ref="M23" si="8">L23/$L$29</f>
        <v>1.3839507764861927E-3</v>
      </c>
      <c r="N23" s="2" t="s">
        <v>50</v>
      </c>
      <c r="O23" s="15"/>
    </row>
    <row r="24" spans="2:16" ht="18" customHeight="1" x14ac:dyDescent="0.2">
      <c r="B24" s="11">
        <v>16</v>
      </c>
      <c r="C24" s="2" t="s">
        <v>36</v>
      </c>
      <c r="D24" s="2" t="s">
        <v>28</v>
      </c>
      <c r="H24" s="30" t="s">
        <v>47</v>
      </c>
      <c r="I24" s="12">
        <v>176375</v>
      </c>
      <c r="J24" s="30">
        <f t="shared" si="3"/>
        <v>8.3000000000000004E-2</v>
      </c>
      <c r="K24" s="12">
        <v>3845</v>
      </c>
      <c r="L24" s="12">
        <f t="shared" si="4"/>
        <v>180220</v>
      </c>
      <c r="M24" s="30">
        <f t="shared" si="5"/>
        <v>8.3000202641711027E-2</v>
      </c>
      <c r="N24" s="2" t="s">
        <v>50</v>
      </c>
      <c r="O24" s="15"/>
    </row>
    <row r="25" spans="2:16" ht="18" customHeight="1" x14ac:dyDescent="0.2">
      <c r="B25" s="11">
        <v>17</v>
      </c>
      <c r="C25" s="2" t="s">
        <v>21</v>
      </c>
      <c r="D25" s="2" t="s">
        <v>28</v>
      </c>
      <c r="E25" s="61">
        <v>0.4</v>
      </c>
      <c r="F25" s="2" t="s">
        <v>44</v>
      </c>
      <c r="G25" s="2" t="s">
        <v>41</v>
      </c>
      <c r="H25" s="44" t="s">
        <v>47</v>
      </c>
      <c r="I25" s="64">
        <v>106250</v>
      </c>
      <c r="J25" s="44">
        <f t="shared" si="3"/>
        <v>0.05</v>
      </c>
      <c r="K25" s="64">
        <v>0</v>
      </c>
      <c r="L25" s="64">
        <f t="shared" si="4"/>
        <v>106250</v>
      </c>
      <c r="M25" s="44">
        <f t="shared" si="5"/>
        <v>4.8933367721017633E-2</v>
      </c>
      <c r="N25" s="2" t="s">
        <v>50</v>
      </c>
      <c r="O25" s="15"/>
    </row>
    <row r="26" spans="2:16" ht="18" customHeight="1" x14ac:dyDescent="0.25">
      <c r="B26" s="11"/>
      <c r="C26" s="2"/>
      <c r="E26" s="61">
        <v>0.3</v>
      </c>
      <c r="F26" s="2" t="s">
        <v>57</v>
      </c>
      <c r="G26" s="2" t="s">
        <v>41</v>
      </c>
      <c r="H26" s="45" t="s">
        <v>47</v>
      </c>
      <c r="I26" s="65">
        <f>SUM(I19:I25)</f>
        <v>497925</v>
      </c>
      <c r="J26" s="45">
        <f>SUM(J19:J25)</f>
        <v>0.23431764705882352</v>
      </c>
      <c r="K26" s="65">
        <f>SUM(K19:K25)</f>
        <v>10854</v>
      </c>
      <c r="L26" s="65">
        <f>SUM(L19:L25)</f>
        <v>508779</v>
      </c>
      <c r="M26" s="45">
        <f>SUM(M19:M25)</f>
        <v>0.23431783431276826</v>
      </c>
      <c r="O26" s="15"/>
    </row>
    <row r="27" spans="2:16" ht="18" customHeight="1" x14ac:dyDescent="0.25">
      <c r="B27" s="11"/>
      <c r="C27" s="2"/>
      <c r="E27" s="61">
        <v>0.3</v>
      </c>
      <c r="F27" s="2" t="s">
        <v>58</v>
      </c>
      <c r="G27" s="2" t="s">
        <v>41</v>
      </c>
      <c r="H27" s="70"/>
      <c r="I27" s="71"/>
      <c r="J27" s="70"/>
      <c r="K27" s="71"/>
      <c r="L27" s="71"/>
      <c r="M27" s="70"/>
      <c r="O27" s="15"/>
    </row>
    <row r="28" spans="2:16" ht="18" customHeight="1" thickBot="1" x14ac:dyDescent="0.25">
      <c r="B28" s="11"/>
      <c r="C28" s="2"/>
      <c r="F28" s="19"/>
      <c r="G28" s="19"/>
      <c r="H28" s="36"/>
      <c r="I28" s="66"/>
      <c r="J28" s="36"/>
      <c r="K28" s="42"/>
      <c r="L28" s="66"/>
      <c r="M28" s="36"/>
      <c r="O28" s="15"/>
    </row>
    <row r="29" spans="2:16" ht="18" customHeight="1" x14ac:dyDescent="0.25">
      <c r="B29" s="11"/>
      <c r="F29" s="75" t="s">
        <v>80</v>
      </c>
      <c r="G29" s="75"/>
      <c r="H29" s="78" t="s">
        <v>48</v>
      </c>
      <c r="I29" s="68">
        <f>I17+I26</f>
        <v>2125000</v>
      </c>
      <c r="J29" s="69">
        <f>J17+J26</f>
        <v>1</v>
      </c>
      <c r="K29" s="68">
        <f>K17+K26</f>
        <v>46320</v>
      </c>
      <c r="L29" s="68">
        <f>L17+L26</f>
        <v>2171320</v>
      </c>
      <c r="M29" s="69">
        <f>M17+M26</f>
        <v>1</v>
      </c>
      <c r="O29" s="15"/>
    </row>
    <row r="30" spans="2:16" ht="18" customHeight="1" x14ac:dyDescent="0.25">
      <c r="B30" s="11"/>
      <c r="H30" s="1"/>
      <c r="I30" s="74">
        <v>2</v>
      </c>
      <c r="J30" s="73"/>
      <c r="K30" s="72"/>
      <c r="L30" s="74">
        <v>2</v>
      </c>
      <c r="M30" s="73"/>
      <c r="O30" s="15"/>
    </row>
    <row r="31" spans="2:16" ht="18" customHeight="1" thickBot="1" x14ac:dyDescent="0.3">
      <c r="B31" s="17"/>
      <c r="C31" s="18"/>
      <c r="D31" s="19"/>
      <c r="E31" s="19"/>
      <c r="F31" s="76" t="s">
        <v>79</v>
      </c>
      <c r="G31" s="76"/>
      <c r="H31" s="79" t="s">
        <v>48</v>
      </c>
      <c r="I31" s="77">
        <f>I29*I30</f>
        <v>4250000</v>
      </c>
      <c r="J31" s="63"/>
      <c r="K31" s="67"/>
      <c r="L31" s="77">
        <f>L29*L30</f>
        <v>4342640</v>
      </c>
      <c r="M31" s="63"/>
      <c r="N31" s="19"/>
      <c r="O31" s="31"/>
    </row>
    <row r="32" spans="2:16" x14ac:dyDescent="0.2">
      <c r="I32" s="12"/>
      <c r="K32" s="12"/>
      <c r="L32" s="12"/>
      <c r="O32" s="14"/>
    </row>
    <row r="33" spans="15:15" x14ac:dyDescent="0.2">
      <c r="O33" s="14"/>
    </row>
  </sheetData>
  <pageMargins left="0.25" right="0.25" top="0.75" bottom="0.75" header="0.3" footer="0.3"/>
  <pageSetup paperSize="9" scale="75" fitToWidth="0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40"/>
  <sheetViews>
    <sheetView tabSelected="1" zoomScale="90" workbookViewId="0">
      <selection activeCell="I39" sqref="I39"/>
    </sheetView>
  </sheetViews>
  <sheetFormatPr defaultColWidth="9.140625" defaultRowHeight="12.75" x14ac:dyDescent="0.2"/>
  <cols>
    <col min="1" max="1" width="2.140625" customWidth="1"/>
    <col min="2" max="2" width="5.28515625" style="1" customWidth="1"/>
    <col min="3" max="3" width="43.5703125" customWidth="1"/>
    <col min="4" max="4" width="29.28515625" style="2" customWidth="1"/>
    <col min="5" max="5" width="13.140625" style="2" customWidth="1"/>
    <col min="6" max="6" width="14.42578125" style="2" customWidth="1"/>
    <col min="7" max="7" width="11.85546875" style="2" customWidth="1"/>
    <col min="8" max="8" width="19.5703125" style="2" customWidth="1"/>
    <col min="9" max="9" width="14.7109375" style="2" customWidth="1"/>
    <col min="10" max="10" width="17.7109375" style="2" customWidth="1"/>
    <col min="11" max="11" width="13" style="2" customWidth="1"/>
    <col min="12" max="12" width="4.140625" customWidth="1"/>
    <col min="13" max="13" width="2.28515625" customWidth="1"/>
  </cols>
  <sheetData>
    <row r="2" spans="2:12" x14ac:dyDescent="0.2">
      <c r="C2" s="2" t="s">
        <v>75</v>
      </c>
    </row>
    <row r="3" spans="2:12" x14ac:dyDescent="0.2">
      <c r="C3" s="2" t="s">
        <v>81</v>
      </c>
    </row>
    <row r="4" spans="2:12" ht="13.5" thickBot="1" x14ac:dyDescent="0.25"/>
    <row r="5" spans="2:12" ht="15.75" x14ac:dyDescent="0.25">
      <c r="B5" s="3"/>
      <c r="C5" s="4" t="s">
        <v>22</v>
      </c>
      <c r="D5" s="5"/>
      <c r="E5" s="5"/>
      <c r="F5" s="5"/>
      <c r="G5" s="5"/>
      <c r="H5" s="5"/>
      <c r="I5" s="5"/>
      <c r="J5" s="5"/>
      <c r="K5" s="5"/>
      <c r="L5" s="6"/>
    </row>
    <row r="6" spans="2:12" ht="15.75" x14ac:dyDescent="0.25">
      <c r="B6" s="25"/>
      <c r="C6" s="26" t="s">
        <v>0</v>
      </c>
      <c r="D6" s="27"/>
      <c r="E6" s="26"/>
      <c r="F6" s="27"/>
      <c r="G6" s="27"/>
      <c r="H6" s="27"/>
      <c r="I6" s="27"/>
      <c r="J6" s="27"/>
      <c r="K6" s="27"/>
      <c r="L6" s="29"/>
    </row>
    <row r="7" spans="2:12" ht="16.5" thickBot="1" x14ac:dyDescent="0.3">
      <c r="B7" s="7"/>
      <c r="C7" s="8" t="s">
        <v>63</v>
      </c>
      <c r="D7" s="9" t="s">
        <v>65</v>
      </c>
      <c r="E7" s="8"/>
      <c r="F7" s="9"/>
      <c r="G7" s="9"/>
      <c r="H7" s="9"/>
      <c r="I7" s="9"/>
      <c r="J7" s="9"/>
      <c r="K7" s="9"/>
      <c r="L7" s="10"/>
    </row>
    <row r="8" spans="2:12" ht="13.5" thickBot="1" x14ac:dyDescent="0.25">
      <c r="B8" s="17" t="s">
        <v>1</v>
      </c>
      <c r="C8" s="62" t="s">
        <v>23</v>
      </c>
      <c r="D8" s="62" t="s">
        <v>24</v>
      </c>
      <c r="E8" s="62" t="s">
        <v>25</v>
      </c>
      <c r="F8" s="62" t="s">
        <v>30</v>
      </c>
      <c r="G8" s="62" t="s">
        <v>2</v>
      </c>
      <c r="H8" s="62" t="s">
        <v>3</v>
      </c>
      <c r="I8" s="62" t="s">
        <v>31</v>
      </c>
      <c r="J8" s="62" t="s">
        <v>27</v>
      </c>
      <c r="K8" s="62" t="s">
        <v>25</v>
      </c>
      <c r="L8" s="31"/>
    </row>
    <row r="9" spans="2:12" x14ac:dyDescent="0.2">
      <c r="B9" s="11">
        <v>1</v>
      </c>
      <c r="C9" s="2" t="s">
        <v>5</v>
      </c>
      <c r="D9" s="2" t="s">
        <v>34</v>
      </c>
      <c r="E9" s="2" t="s">
        <v>28</v>
      </c>
      <c r="F9" s="12">
        <v>1038404400</v>
      </c>
      <c r="G9" s="13">
        <v>0.01</v>
      </c>
      <c r="H9" s="13">
        <f>F9*G9</f>
        <v>10384044</v>
      </c>
      <c r="I9" s="30">
        <f>F9/$F$24</f>
        <v>0.94537530985855478</v>
      </c>
      <c r="J9" s="2" t="s">
        <v>34</v>
      </c>
      <c r="K9" s="2" t="s">
        <v>28</v>
      </c>
      <c r="L9" s="15"/>
    </row>
    <row r="10" spans="2:12" x14ac:dyDescent="0.2">
      <c r="B10" s="11"/>
      <c r="C10" s="2" t="s">
        <v>60</v>
      </c>
      <c r="D10" s="2" t="s">
        <v>64</v>
      </c>
      <c r="F10" s="12"/>
      <c r="G10" s="16"/>
      <c r="H10" s="16"/>
      <c r="I10" s="30"/>
      <c r="L10" s="15"/>
    </row>
    <row r="11" spans="2:12" x14ac:dyDescent="0.2">
      <c r="B11" s="11"/>
      <c r="C11" s="2"/>
      <c r="F11" s="64">
        <v>50000000</v>
      </c>
      <c r="G11" s="16">
        <v>0.01</v>
      </c>
      <c r="H11" s="80">
        <f>F11*G11</f>
        <v>500000</v>
      </c>
      <c r="I11" s="44">
        <f>F11/$F$24</f>
        <v>4.5520575117870977E-2</v>
      </c>
      <c r="L11" s="15"/>
    </row>
    <row r="12" spans="2:12" x14ac:dyDescent="0.2">
      <c r="B12" s="11"/>
      <c r="C12" s="2"/>
      <c r="F12" s="12">
        <f>SUM(F9:F11)</f>
        <v>1088404400</v>
      </c>
      <c r="G12" s="16"/>
      <c r="H12" s="16">
        <f>SUM(H9:H11)</f>
        <v>10884044</v>
      </c>
      <c r="I12" s="30">
        <f>F12/$F$24</f>
        <v>0.99089588497642578</v>
      </c>
      <c r="L12" s="15"/>
    </row>
    <row r="13" spans="2:12" x14ac:dyDescent="0.2">
      <c r="B13" s="11"/>
      <c r="C13" s="2"/>
      <c r="F13" s="12"/>
      <c r="G13" s="16"/>
      <c r="H13" s="16"/>
      <c r="I13" s="30"/>
      <c r="L13" s="15"/>
    </row>
    <row r="14" spans="2:12" x14ac:dyDescent="0.2">
      <c r="B14" s="11"/>
      <c r="C14" s="2"/>
      <c r="F14" s="12"/>
      <c r="G14" s="16"/>
      <c r="H14" s="16"/>
      <c r="I14" s="30"/>
      <c r="L14" s="15"/>
    </row>
    <row r="15" spans="2:12" x14ac:dyDescent="0.2">
      <c r="B15" s="11">
        <v>2</v>
      </c>
      <c r="C15" s="2" t="s">
        <v>6</v>
      </c>
      <c r="D15" s="2" t="s">
        <v>35</v>
      </c>
      <c r="E15" s="2" t="s">
        <v>28</v>
      </c>
      <c r="F15" s="12">
        <v>3340000</v>
      </c>
      <c r="G15" s="16">
        <v>0.01</v>
      </c>
      <c r="H15" s="16">
        <f t="shared" ref="H15:H18" si="0">F15*G15</f>
        <v>33400</v>
      </c>
      <c r="I15" s="30">
        <f t="shared" ref="I15:I21" si="1">F15/$F$24</f>
        <v>3.0407744178737811E-3</v>
      </c>
      <c r="J15" s="2" t="s">
        <v>6</v>
      </c>
      <c r="K15" s="2" t="s">
        <v>28</v>
      </c>
      <c r="L15" s="15"/>
    </row>
    <row r="16" spans="2:12" x14ac:dyDescent="0.2">
      <c r="B16" s="11"/>
      <c r="C16" s="2" t="s">
        <v>61</v>
      </c>
      <c r="D16" s="2" t="s">
        <v>69</v>
      </c>
      <c r="F16" s="12"/>
      <c r="G16" s="16"/>
      <c r="H16" s="16"/>
      <c r="I16" s="30"/>
      <c r="L16" s="15"/>
    </row>
    <row r="17" spans="2:12" x14ac:dyDescent="0.2">
      <c r="B17" s="11"/>
      <c r="C17" s="2"/>
      <c r="F17" s="12"/>
      <c r="G17" s="16"/>
      <c r="H17" s="16"/>
      <c r="I17" s="30"/>
      <c r="L17" s="15"/>
    </row>
    <row r="18" spans="2:12" x14ac:dyDescent="0.2">
      <c r="B18" s="11">
        <v>3</v>
      </c>
      <c r="C18" s="2" t="s">
        <v>39</v>
      </c>
      <c r="D18" s="2" t="s">
        <v>35</v>
      </c>
      <c r="E18" s="2" t="s">
        <v>28</v>
      </c>
      <c r="F18" s="12">
        <v>3330000</v>
      </c>
      <c r="G18" s="16">
        <v>0.01</v>
      </c>
      <c r="H18" s="16">
        <f t="shared" si="0"/>
        <v>33300</v>
      </c>
      <c r="I18" s="30">
        <f t="shared" si="1"/>
        <v>3.0316703028502069E-3</v>
      </c>
      <c r="J18" s="2" t="s">
        <v>34</v>
      </c>
      <c r="K18" s="2" t="s">
        <v>40</v>
      </c>
      <c r="L18" s="15"/>
    </row>
    <row r="19" spans="2:12" x14ac:dyDescent="0.2">
      <c r="B19" s="11"/>
      <c r="C19" s="2" t="s">
        <v>62</v>
      </c>
      <c r="D19" s="2" t="s">
        <v>70</v>
      </c>
      <c r="F19" s="12"/>
      <c r="G19" s="16"/>
      <c r="H19" s="16"/>
      <c r="I19" s="30"/>
      <c r="L19" s="15"/>
    </row>
    <row r="20" spans="2:12" x14ac:dyDescent="0.2">
      <c r="B20" s="11"/>
      <c r="C20" s="2"/>
      <c r="F20" s="12"/>
      <c r="G20" s="16"/>
      <c r="H20" s="16"/>
      <c r="I20" s="30"/>
      <c r="L20" s="15"/>
    </row>
    <row r="21" spans="2:12" x14ac:dyDescent="0.2">
      <c r="B21" s="11">
        <v>3</v>
      </c>
      <c r="C21" s="2" t="s">
        <v>42</v>
      </c>
      <c r="D21" s="2" t="s">
        <v>35</v>
      </c>
      <c r="E21" s="2" t="s">
        <v>28</v>
      </c>
      <c r="F21" s="12">
        <v>3330000</v>
      </c>
      <c r="G21" s="16">
        <v>0.01</v>
      </c>
      <c r="H21" s="16">
        <f>F21*G21</f>
        <v>33300</v>
      </c>
      <c r="I21" s="30">
        <f t="shared" si="1"/>
        <v>3.0316703028502069E-3</v>
      </c>
      <c r="J21" s="2" t="s">
        <v>34</v>
      </c>
      <c r="K21" s="2" t="s">
        <v>40</v>
      </c>
      <c r="L21" s="15"/>
    </row>
    <row r="22" spans="2:12" x14ac:dyDescent="0.2">
      <c r="B22" s="11"/>
      <c r="C22" s="2" t="s">
        <v>59</v>
      </c>
      <c r="D22" s="2" t="s">
        <v>66</v>
      </c>
      <c r="F22" s="12"/>
      <c r="G22" s="16"/>
      <c r="H22" s="16"/>
      <c r="I22" s="30"/>
      <c r="L22" s="15"/>
    </row>
    <row r="23" spans="2:12" ht="13.5" thickBot="1" x14ac:dyDescent="0.25">
      <c r="B23" s="11"/>
      <c r="C23" s="2"/>
      <c r="F23" s="12"/>
      <c r="G23" s="16"/>
      <c r="H23" s="16"/>
      <c r="I23" s="36"/>
      <c r="L23" s="15"/>
    </row>
    <row r="24" spans="2:12" ht="13.5" thickBot="1" x14ac:dyDescent="0.25">
      <c r="B24" s="17"/>
      <c r="C24" s="18"/>
      <c r="D24" s="19"/>
      <c r="E24" s="19"/>
      <c r="F24" s="20">
        <f>F12+F15+F18+F21</f>
        <v>1098404400</v>
      </c>
      <c r="G24" s="21"/>
      <c r="H24" s="22">
        <f>H12+H15+H18+H21</f>
        <v>10984044</v>
      </c>
      <c r="I24" s="35">
        <f>I12+I15+I18+I21</f>
        <v>1</v>
      </c>
      <c r="J24" s="19"/>
      <c r="K24" s="19"/>
      <c r="L24" s="23"/>
    </row>
    <row r="28" spans="2:12" x14ac:dyDescent="0.2">
      <c r="C28" s="2" t="s">
        <v>67</v>
      </c>
    </row>
    <row r="29" spans="2:12" x14ac:dyDescent="0.2">
      <c r="C29" s="2" t="s">
        <v>68</v>
      </c>
    </row>
    <row r="30" spans="2:12" x14ac:dyDescent="0.2">
      <c r="C30" s="2" t="s">
        <v>71</v>
      </c>
      <c r="D30" s="2" t="s">
        <v>72</v>
      </c>
    </row>
    <row r="33" spans="3:4" x14ac:dyDescent="0.2">
      <c r="C33" s="2" t="s">
        <v>74</v>
      </c>
    </row>
    <row r="34" spans="3:4" x14ac:dyDescent="0.2">
      <c r="C34" s="2" t="s">
        <v>68</v>
      </c>
    </row>
    <row r="35" spans="3:4" x14ac:dyDescent="0.2">
      <c r="C35" s="2" t="s">
        <v>71</v>
      </c>
      <c r="D35" s="2" t="s">
        <v>72</v>
      </c>
    </row>
    <row r="38" spans="3:4" x14ac:dyDescent="0.2">
      <c r="C38" s="2" t="s">
        <v>73</v>
      </c>
    </row>
    <row r="39" spans="3:4" x14ac:dyDescent="0.2">
      <c r="C39" s="2" t="s">
        <v>6</v>
      </c>
    </row>
    <row r="40" spans="3:4" x14ac:dyDescent="0.2">
      <c r="C40" s="2" t="s">
        <v>61</v>
      </c>
      <c r="D40" s="2" t="s">
        <v>69</v>
      </c>
    </row>
  </sheetData>
  <pageMargins left="0.25" right="0.25" top="0.75" bottom="0.75" header="0.3" footer="0.3"/>
  <pageSetup paperSize="9" scale="7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D787-0377-4884-936D-20EEC0BB6310}">
  <dimension ref="B2:Q54"/>
  <sheetViews>
    <sheetView workbookViewId="0">
      <pane ySplit="2" topLeftCell="A3" activePane="bottomLeft" state="frozen"/>
      <selection pane="bottomLeft" activeCell="F55" sqref="F55"/>
    </sheetView>
  </sheetViews>
  <sheetFormatPr defaultRowHeight="15" x14ac:dyDescent="0.25"/>
  <cols>
    <col min="1" max="1" width="9.140625" style="107"/>
    <col min="2" max="2" width="7.5703125" style="107" customWidth="1"/>
    <col min="3" max="3" width="9.42578125" style="107" customWidth="1"/>
    <col min="4" max="4" width="9.7109375" style="138" customWidth="1"/>
    <col min="5" max="5" width="33.140625" style="107" bestFit="1" customWidth="1"/>
    <col min="6" max="6" width="26" style="107" customWidth="1"/>
    <col min="7" max="7" width="9.7109375" style="138" customWidth="1"/>
    <col min="8" max="8" width="23.7109375" style="107" bestFit="1" customWidth="1"/>
    <col min="9" max="9" width="17.42578125" style="107" bestFit="1" customWidth="1"/>
    <col min="10" max="10" width="11.28515625" style="102" customWidth="1"/>
    <col min="11" max="11" width="18.42578125" style="107" bestFit="1" customWidth="1"/>
    <col min="12" max="13" width="14.5703125" style="107" customWidth="1"/>
    <col min="14" max="14" width="13" style="109" customWidth="1"/>
    <col min="15" max="15" width="17.42578125" style="107" bestFit="1" customWidth="1"/>
    <col min="16" max="16" width="13" style="109" customWidth="1"/>
    <col min="17" max="17" width="15" style="107" customWidth="1"/>
    <col min="18" max="16384" width="9.140625" style="107"/>
  </cols>
  <sheetData>
    <row r="2" spans="2:17" s="102" customFormat="1" x14ac:dyDescent="0.25">
      <c r="B2" s="98" t="s">
        <v>114</v>
      </c>
      <c r="C2" s="99" t="s">
        <v>115</v>
      </c>
      <c r="D2" s="133" t="s">
        <v>130</v>
      </c>
      <c r="E2" s="99" t="s">
        <v>94</v>
      </c>
      <c r="F2" s="99" t="s">
        <v>124</v>
      </c>
      <c r="G2" s="133" t="s">
        <v>4</v>
      </c>
      <c r="H2" s="99" t="s">
        <v>95</v>
      </c>
      <c r="I2" s="99" t="s">
        <v>96</v>
      </c>
      <c r="J2" s="99" t="s">
        <v>97</v>
      </c>
      <c r="K2" s="99" t="s">
        <v>98</v>
      </c>
      <c r="L2" s="99" t="s">
        <v>99</v>
      </c>
      <c r="M2" s="99" t="s">
        <v>100</v>
      </c>
      <c r="N2" s="100" t="s">
        <v>101</v>
      </c>
      <c r="O2" s="99" t="s">
        <v>102</v>
      </c>
      <c r="P2" s="100" t="s">
        <v>103</v>
      </c>
      <c r="Q2" s="101" t="s">
        <v>104</v>
      </c>
    </row>
    <row r="3" spans="2:17" x14ac:dyDescent="0.25">
      <c r="B3" s="125">
        <v>1</v>
      </c>
      <c r="C3" s="104" t="s">
        <v>46</v>
      </c>
      <c r="D3" s="134">
        <v>6.9800000000000001E-2</v>
      </c>
      <c r="E3" s="103" t="s">
        <v>7</v>
      </c>
      <c r="F3" s="103"/>
      <c r="G3" s="134"/>
      <c r="H3" s="103"/>
      <c r="I3" s="103" t="s">
        <v>105</v>
      </c>
      <c r="J3" s="104"/>
      <c r="K3" s="104"/>
      <c r="L3" s="105"/>
      <c r="M3" s="105"/>
      <c r="N3" s="126"/>
      <c r="O3" s="103"/>
      <c r="P3" s="126"/>
      <c r="Q3" s="106"/>
    </row>
    <row r="4" spans="2:17" x14ac:dyDescent="0.25">
      <c r="B4" s="108"/>
      <c r="C4" s="102"/>
      <c r="D4" s="135"/>
      <c r="E4" s="127"/>
      <c r="F4" s="127"/>
      <c r="G4" s="135"/>
      <c r="H4" s="127"/>
      <c r="I4" s="127"/>
      <c r="J4" s="128"/>
      <c r="K4" s="128"/>
      <c r="O4" s="127"/>
      <c r="Q4" s="110"/>
    </row>
    <row r="5" spans="2:17" x14ac:dyDescent="0.25">
      <c r="B5" s="111"/>
      <c r="C5" s="122"/>
      <c r="D5" s="136"/>
      <c r="E5" s="112"/>
      <c r="F5" s="112"/>
      <c r="G5" s="136"/>
      <c r="H5" s="112"/>
      <c r="I5" s="112"/>
      <c r="J5" s="113"/>
      <c r="K5" s="113"/>
      <c r="L5" s="114"/>
      <c r="M5" s="114"/>
      <c r="N5" s="115"/>
      <c r="O5" s="112"/>
      <c r="P5" s="115"/>
      <c r="Q5" s="116"/>
    </row>
    <row r="6" spans="2:17" x14ac:dyDescent="0.25">
      <c r="B6" s="129">
        <v>2</v>
      </c>
      <c r="C6" s="128" t="s">
        <v>46</v>
      </c>
      <c r="D6" s="134">
        <v>6.9800000000000001E-2</v>
      </c>
      <c r="E6" s="127" t="s">
        <v>8</v>
      </c>
      <c r="F6" s="127"/>
      <c r="G6" s="135"/>
      <c r="H6" s="127"/>
      <c r="I6" s="127" t="s">
        <v>105</v>
      </c>
      <c r="J6" s="128"/>
      <c r="K6" s="128"/>
      <c r="N6" s="130"/>
      <c r="O6" s="127"/>
      <c r="P6" s="130"/>
      <c r="Q6" s="110"/>
    </row>
    <row r="7" spans="2:17" x14ac:dyDescent="0.25">
      <c r="B7" s="108"/>
      <c r="C7" s="102"/>
      <c r="D7" s="135"/>
      <c r="E7" s="127"/>
      <c r="F7" s="127"/>
      <c r="G7" s="135"/>
      <c r="H7" s="127"/>
      <c r="I7" s="127"/>
      <c r="J7" s="128"/>
      <c r="K7" s="128"/>
      <c r="O7" s="127"/>
      <c r="Q7" s="110"/>
    </row>
    <row r="8" spans="2:17" x14ac:dyDescent="0.25">
      <c r="B8" s="111"/>
      <c r="C8" s="122"/>
      <c r="D8" s="136"/>
      <c r="E8" s="112"/>
      <c r="F8" s="112"/>
      <c r="G8" s="136"/>
      <c r="H8" s="112"/>
      <c r="I8" s="112"/>
      <c r="J8" s="113"/>
      <c r="K8" s="113"/>
      <c r="L8" s="114"/>
      <c r="M8" s="114"/>
      <c r="N8" s="115"/>
      <c r="O8" s="112"/>
      <c r="P8" s="115"/>
      <c r="Q8" s="116"/>
    </row>
    <row r="9" spans="2:17" x14ac:dyDescent="0.25">
      <c r="B9" s="129">
        <v>3</v>
      </c>
      <c r="C9" s="128" t="s">
        <v>46</v>
      </c>
      <c r="D9" s="134">
        <v>6.9800000000000001E-2</v>
      </c>
      <c r="E9" s="127" t="s">
        <v>9</v>
      </c>
      <c r="F9" s="127"/>
      <c r="G9" s="135"/>
      <c r="H9" s="127"/>
      <c r="I9" s="127" t="s">
        <v>105</v>
      </c>
      <c r="J9" s="128"/>
      <c r="K9" s="128"/>
      <c r="N9" s="130"/>
      <c r="O9" s="127"/>
      <c r="P9" s="130"/>
      <c r="Q9" s="110"/>
    </row>
    <row r="10" spans="2:17" x14ac:dyDescent="0.25">
      <c r="B10" s="108"/>
      <c r="C10" s="102"/>
      <c r="D10" s="135"/>
      <c r="E10" s="127"/>
      <c r="F10" s="127"/>
      <c r="G10" s="135"/>
      <c r="H10" s="127"/>
      <c r="I10" s="127"/>
      <c r="J10" s="128"/>
      <c r="K10" s="128"/>
      <c r="O10" s="127"/>
      <c r="Q10" s="110"/>
    </row>
    <row r="11" spans="2:17" x14ac:dyDescent="0.25">
      <c r="B11" s="111"/>
      <c r="C11" s="122"/>
      <c r="D11" s="136"/>
      <c r="E11" s="112"/>
      <c r="F11" s="112"/>
      <c r="G11" s="136"/>
      <c r="H11" s="112"/>
      <c r="I11" s="112"/>
      <c r="J11" s="113"/>
      <c r="K11" s="113"/>
      <c r="L11" s="114"/>
      <c r="M11" s="114"/>
      <c r="N11" s="115"/>
      <c r="O11" s="112"/>
      <c r="P11" s="115"/>
      <c r="Q11" s="116"/>
    </row>
    <row r="12" spans="2:17" x14ac:dyDescent="0.25">
      <c r="B12" s="129">
        <v>4</v>
      </c>
      <c r="C12" s="128" t="s">
        <v>46</v>
      </c>
      <c r="D12" s="134">
        <v>6.9800000000000001E-2</v>
      </c>
      <c r="E12" s="127" t="s">
        <v>10</v>
      </c>
      <c r="F12" s="127"/>
      <c r="G12" s="135"/>
      <c r="H12" s="127"/>
      <c r="I12" s="127" t="s">
        <v>105</v>
      </c>
      <c r="J12" s="128"/>
      <c r="K12" s="128"/>
      <c r="N12" s="130"/>
      <c r="O12" s="127"/>
      <c r="P12" s="130"/>
      <c r="Q12" s="110"/>
    </row>
    <row r="13" spans="2:17" x14ac:dyDescent="0.25">
      <c r="B13" s="108"/>
      <c r="C13" s="102"/>
      <c r="D13" s="135"/>
      <c r="E13" s="127"/>
      <c r="F13" s="127"/>
      <c r="G13" s="135"/>
      <c r="H13" s="127"/>
      <c r="I13" s="127"/>
      <c r="J13" s="128"/>
      <c r="K13" s="128"/>
      <c r="O13" s="127"/>
      <c r="Q13" s="110"/>
    </row>
    <row r="14" spans="2:17" x14ac:dyDescent="0.25">
      <c r="B14" s="111"/>
      <c r="C14" s="122"/>
      <c r="D14" s="136"/>
      <c r="E14" s="112"/>
      <c r="F14" s="112"/>
      <c r="G14" s="136"/>
      <c r="H14" s="112"/>
      <c r="I14" s="112"/>
      <c r="J14" s="113"/>
      <c r="K14" s="113"/>
      <c r="L14" s="114"/>
      <c r="M14" s="114"/>
      <c r="N14" s="115"/>
      <c r="O14" s="112"/>
      <c r="P14" s="115"/>
      <c r="Q14" s="116"/>
    </row>
    <row r="15" spans="2:17" x14ac:dyDescent="0.25">
      <c r="B15" s="129">
        <v>5</v>
      </c>
      <c r="C15" s="128" t="s">
        <v>46</v>
      </c>
      <c r="D15" s="134">
        <v>6.9800000000000001E-2</v>
      </c>
      <c r="E15" s="127" t="s">
        <v>11</v>
      </c>
      <c r="F15" s="127"/>
      <c r="G15" s="135"/>
      <c r="H15" s="127"/>
      <c r="I15" s="127" t="s">
        <v>105</v>
      </c>
      <c r="J15" s="128"/>
      <c r="K15" s="128"/>
      <c r="N15" s="130"/>
      <c r="O15" s="127"/>
      <c r="P15" s="130"/>
      <c r="Q15" s="110"/>
    </row>
    <row r="16" spans="2:17" x14ac:dyDescent="0.25">
      <c r="B16" s="108"/>
      <c r="C16" s="102"/>
      <c r="D16" s="135"/>
      <c r="E16" s="127"/>
      <c r="F16" s="127"/>
      <c r="G16" s="135"/>
      <c r="H16" s="127"/>
      <c r="I16" s="127"/>
      <c r="J16" s="128"/>
      <c r="K16" s="128"/>
      <c r="O16" s="127"/>
      <c r="Q16" s="110"/>
    </row>
    <row r="17" spans="2:17" x14ac:dyDescent="0.25">
      <c r="B17" s="111"/>
      <c r="C17" s="122"/>
      <c r="D17" s="136"/>
      <c r="E17" s="112"/>
      <c r="F17" s="112"/>
      <c r="G17" s="136"/>
      <c r="H17" s="112"/>
      <c r="I17" s="112"/>
      <c r="J17" s="113"/>
      <c r="K17" s="113"/>
      <c r="L17" s="114"/>
      <c r="M17" s="114"/>
      <c r="N17" s="115"/>
      <c r="O17" s="112"/>
      <c r="P17" s="115"/>
      <c r="Q17" s="116"/>
    </row>
    <row r="18" spans="2:17" x14ac:dyDescent="0.25">
      <c r="B18" s="129">
        <v>6</v>
      </c>
      <c r="C18" s="128" t="s">
        <v>46</v>
      </c>
      <c r="D18" s="134">
        <v>6.8099999999999994E-2</v>
      </c>
      <c r="E18" s="127" t="s">
        <v>16</v>
      </c>
      <c r="F18" s="127"/>
      <c r="G18" s="135"/>
      <c r="H18" s="127" t="s">
        <v>120</v>
      </c>
      <c r="I18" s="127" t="s">
        <v>109</v>
      </c>
      <c r="J18" s="128"/>
      <c r="K18" s="131" t="s">
        <v>110</v>
      </c>
      <c r="L18" s="127" t="s">
        <v>111</v>
      </c>
      <c r="M18" s="127" t="s">
        <v>112</v>
      </c>
      <c r="N18" s="130">
        <v>46129</v>
      </c>
      <c r="O18" s="127" t="s">
        <v>113</v>
      </c>
      <c r="P18" s="130">
        <v>49782</v>
      </c>
      <c r="Q18" s="110"/>
    </row>
    <row r="19" spans="2:17" x14ac:dyDescent="0.25">
      <c r="B19" s="108"/>
      <c r="C19" s="102"/>
      <c r="D19" s="135"/>
      <c r="E19" s="127"/>
      <c r="F19" s="127"/>
      <c r="G19" s="135"/>
      <c r="H19" s="127"/>
      <c r="I19" s="127"/>
      <c r="J19" s="128"/>
      <c r="K19" s="128"/>
      <c r="O19" s="127"/>
      <c r="Q19" s="110"/>
    </row>
    <row r="20" spans="2:17" x14ac:dyDescent="0.25">
      <c r="B20" s="111"/>
      <c r="C20" s="122"/>
      <c r="D20" s="136"/>
      <c r="E20" s="112"/>
      <c r="F20" s="112"/>
      <c r="G20" s="136"/>
      <c r="H20" s="112"/>
      <c r="I20" s="112"/>
      <c r="J20" s="113"/>
      <c r="K20" s="113"/>
      <c r="L20" s="114"/>
      <c r="M20" s="114"/>
      <c r="N20" s="115"/>
      <c r="O20" s="112"/>
      <c r="P20" s="115"/>
      <c r="Q20" s="116"/>
    </row>
    <row r="21" spans="2:17" x14ac:dyDescent="0.25">
      <c r="B21" s="129">
        <v>7</v>
      </c>
      <c r="C21" s="128" t="s">
        <v>46</v>
      </c>
      <c r="D21" s="134">
        <v>3.49E-2</v>
      </c>
      <c r="E21" s="127" t="s">
        <v>15</v>
      </c>
      <c r="F21" s="127"/>
      <c r="G21" s="135"/>
      <c r="H21" s="127" t="s">
        <v>121</v>
      </c>
      <c r="I21" s="127" t="s">
        <v>105</v>
      </c>
      <c r="J21" s="128"/>
      <c r="K21" s="128" t="s">
        <v>106</v>
      </c>
      <c r="N21" s="130"/>
      <c r="O21" s="127"/>
      <c r="P21" s="130"/>
      <c r="Q21" s="110"/>
    </row>
    <row r="22" spans="2:17" x14ac:dyDescent="0.25">
      <c r="B22" s="108"/>
      <c r="C22" s="102"/>
      <c r="D22" s="135"/>
      <c r="E22" s="127"/>
      <c r="F22" s="127"/>
      <c r="G22" s="135"/>
      <c r="H22" s="127"/>
      <c r="I22" s="127"/>
      <c r="J22" s="128"/>
      <c r="K22" s="128"/>
      <c r="O22" s="127"/>
      <c r="Q22" s="110"/>
    </row>
    <row r="23" spans="2:17" x14ac:dyDescent="0.25">
      <c r="B23" s="111"/>
      <c r="C23" s="122"/>
      <c r="D23" s="136"/>
      <c r="E23" s="112"/>
      <c r="F23" s="112"/>
      <c r="G23" s="136"/>
      <c r="H23" s="112"/>
      <c r="I23" s="112"/>
      <c r="J23" s="113"/>
      <c r="K23" s="113"/>
      <c r="L23" s="114"/>
      <c r="M23" s="114"/>
      <c r="N23" s="115"/>
      <c r="O23" s="112"/>
      <c r="P23" s="115"/>
      <c r="Q23" s="116"/>
    </row>
    <row r="24" spans="2:17" x14ac:dyDescent="0.25">
      <c r="B24" s="129">
        <v>8</v>
      </c>
      <c r="C24" s="128" t="s">
        <v>118</v>
      </c>
      <c r="D24" s="134">
        <v>5.3499999999999999E-2</v>
      </c>
      <c r="E24" s="127" t="s">
        <v>14</v>
      </c>
      <c r="F24" s="127"/>
      <c r="G24" s="135"/>
      <c r="H24" s="127" t="s">
        <v>121</v>
      </c>
      <c r="I24" s="127" t="s">
        <v>105</v>
      </c>
      <c r="J24" s="128"/>
      <c r="K24" s="128"/>
      <c r="N24" s="130"/>
      <c r="O24" s="127"/>
      <c r="P24" s="130"/>
      <c r="Q24" s="110"/>
    </row>
    <row r="25" spans="2:17" x14ac:dyDescent="0.25">
      <c r="B25" s="108"/>
      <c r="C25" s="102"/>
      <c r="D25" s="135"/>
      <c r="E25" s="127"/>
      <c r="F25" s="127"/>
      <c r="G25" s="135"/>
      <c r="H25" s="127"/>
      <c r="I25" s="127"/>
      <c r="J25" s="128"/>
      <c r="K25" s="128"/>
      <c r="O25" s="127"/>
      <c r="Q25" s="110"/>
    </row>
    <row r="26" spans="2:17" x14ac:dyDescent="0.25">
      <c r="B26" s="111"/>
      <c r="C26" s="122"/>
      <c r="D26" s="136"/>
      <c r="E26" s="112"/>
      <c r="F26" s="112"/>
      <c r="G26" s="136"/>
      <c r="H26" s="112"/>
      <c r="I26" s="112"/>
      <c r="J26" s="113"/>
      <c r="K26" s="113"/>
      <c r="L26" s="114"/>
      <c r="M26" s="114"/>
      <c r="N26" s="115"/>
      <c r="O26" s="112"/>
      <c r="P26" s="115"/>
      <c r="Q26" s="116"/>
    </row>
    <row r="27" spans="2:17" x14ac:dyDescent="0.25">
      <c r="B27" s="129">
        <v>9</v>
      </c>
      <c r="C27" s="128" t="s">
        <v>46</v>
      </c>
      <c r="D27" s="134">
        <v>6.9800000000000001E-2</v>
      </c>
      <c r="E27" s="127" t="s">
        <v>12</v>
      </c>
      <c r="F27" s="127"/>
      <c r="G27" s="135"/>
      <c r="H27" s="127" t="s">
        <v>121</v>
      </c>
      <c r="I27" s="127" t="s">
        <v>105</v>
      </c>
      <c r="J27" s="128"/>
      <c r="K27" s="128" t="s">
        <v>108</v>
      </c>
      <c r="N27" s="130"/>
      <c r="O27" s="127"/>
      <c r="P27" s="130"/>
      <c r="Q27" s="110"/>
    </row>
    <row r="28" spans="2:17" x14ac:dyDescent="0.25">
      <c r="B28" s="117"/>
      <c r="C28" s="123"/>
      <c r="D28" s="135"/>
      <c r="E28" s="127"/>
      <c r="F28" s="127"/>
      <c r="G28" s="135"/>
      <c r="H28" s="127"/>
      <c r="I28" s="127"/>
      <c r="J28" s="128"/>
      <c r="K28" s="131"/>
      <c r="O28" s="127"/>
      <c r="Q28" s="110"/>
    </row>
    <row r="29" spans="2:17" x14ac:dyDescent="0.25">
      <c r="B29" s="118"/>
      <c r="C29" s="124"/>
      <c r="D29" s="136"/>
      <c r="E29" s="112"/>
      <c r="F29" s="112"/>
      <c r="G29" s="136"/>
      <c r="H29" s="112"/>
      <c r="I29" s="112"/>
      <c r="J29" s="113"/>
      <c r="K29" s="119"/>
      <c r="L29" s="114"/>
      <c r="M29" s="114"/>
      <c r="N29" s="115"/>
      <c r="O29" s="112"/>
      <c r="P29" s="115"/>
      <c r="Q29" s="116"/>
    </row>
    <row r="30" spans="2:17" x14ac:dyDescent="0.25">
      <c r="B30" s="129">
        <v>10</v>
      </c>
      <c r="C30" s="128" t="s">
        <v>118</v>
      </c>
      <c r="D30" s="134">
        <v>0.1037</v>
      </c>
      <c r="E30" s="127" t="s">
        <v>18</v>
      </c>
      <c r="F30" s="127"/>
      <c r="G30" s="135"/>
      <c r="H30" s="127" t="s">
        <v>122</v>
      </c>
      <c r="I30" s="127" t="s">
        <v>107</v>
      </c>
      <c r="J30" s="128"/>
      <c r="K30" s="131" t="s">
        <v>92</v>
      </c>
      <c r="N30" s="130"/>
      <c r="O30" s="127"/>
      <c r="P30" s="130"/>
      <c r="Q30" s="110"/>
    </row>
    <row r="31" spans="2:17" x14ac:dyDescent="0.25">
      <c r="B31" s="108"/>
      <c r="C31" s="102"/>
      <c r="D31" s="135"/>
      <c r="E31" s="127"/>
      <c r="F31" s="127"/>
      <c r="G31" s="135"/>
      <c r="H31" s="127"/>
      <c r="I31" s="127"/>
      <c r="J31" s="128"/>
      <c r="K31" s="128"/>
      <c r="O31" s="127"/>
      <c r="Q31" s="110"/>
    </row>
    <row r="32" spans="2:17" x14ac:dyDescent="0.25">
      <c r="B32" s="111"/>
      <c r="C32" s="122"/>
      <c r="D32" s="136"/>
      <c r="E32" s="112"/>
      <c r="F32" s="112"/>
      <c r="G32" s="136"/>
      <c r="H32" s="112"/>
      <c r="I32" s="112"/>
      <c r="J32" s="113"/>
      <c r="K32" s="113"/>
      <c r="L32" s="114"/>
      <c r="M32" s="114"/>
      <c r="N32" s="115"/>
      <c r="O32" s="112"/>
      <c r="P32" s="115"/>
      <c r="Q32" s="116"/>
    </row>
    <row r="33" spans="2:17" x14ac:dyDescent="0.25">
      <c r="B33" s="129">
        <v>11</v>
      </c>
      <c r="C33" s="128" t="s">
        <v>46</v>
      </c>
      <c r="D33" s="134">
        <v>0.13950000000000001</v>
      </c>
      <c r="E33" s="127" t="s">
        <v>116</v>
      </c>
      <c r="F33" s="127"/>
      <c r="G33" s="135"/>
      <c r="H33" s="127"/>
      <c r="I33" s="127" t="s">
        <v>105</v>
      </c>
      <c r="J33" s="128" t="s">
        <v>128</v>
      </c>
      <c r="K33" s="128"/>
      <c r="N33" s="130"/>
      <c r="O33" s="127"/>
      <c r="P33" s="130"/>
      <c r="Q33" s="110"/>
    </row>
    <row r="34" spans="2:17" x14ac:dyDescent="0.25">
      <c r="B34" s="129"/>
      <c r="C34" s="128"/>
      <c r="D34" s="135"/>
      <c r="E34" s="127"/>
      <c r="F34" s="127"/>
      <c r="G34" s="135"/>
      <c r="H34" s="127"/>
      <c r="I34" s="127"/>
      <c r="J34" s="128"/>
      <c r="K34" s="128"/>
      <c r="N34" s="130"/>
      <c r="O34" s="127"/>
      <c r="P34" s="130"/>
      <c r="Q34" s="110"/>
    </row>
    <row r="35" spans="2:17" x14ac:dyDescent="0.25">
      <c r="B35" s="108"/>
      <c r="C35" s="102"/>
      <c r="D35" s="135"/>
      <c r="E35" s="127"/>
      <c r="F35" s="127" t="s">
        <v>129</v>
      </c>
      <c r="G35" s="135">
        <v>1</v>
      </c>
      <c r="H35" s="127" t="s">
        <v>122</v>
      </c>
      <c r="I35" s="127" t="s">
        <v>105</v>
      </c>
      <c r="J35" s="128"/>
      <c r="K35" s="128"/>
      <c r="O35" s="127"/>
      <c r="Q35" s="110"/>
    </row>
    <row r="36" spans="2:17" x14ac:dyDescent="0.25">
      <c r="B36" s="111"/>
      <c r="C36" s="122"/>
      <c r="D36" s="136"/>
      <c r="E36" s="112"/>
      <c r="F36" s="112"/>
      <c r="G36" s="136"/>
      <c r="H36" s="112"/>
      <c r="I36" s="112"/>
      <c r="J36" s="113"/>
      <c r="K36" s="113"/>
      <c r="L36" s="114"/>
      <c r="M36" s="114"/>
      <c r="N36" s="115"/>
      <c r="O36" s="112"/>
      <c r="P36" s="115"/>
      <c r="Q36" s="116"/>
    </row>
    <row r="37" spans="2:17" x14ac:dyDescent="0.25">
      <c r="B37" s="129">
        <v>12</v>
      </c>
      <c r="C37" s="128" t="s">
        <v>47</v>
      </c>
      <c r="D37" s="135">
        <v>3.1199999999999999E-2</v>
      </c>
      <c r="E37" s="127" t="s">
        <v>20</v>
      </c>
      <c r="F37" s="127"/>
      <c r="G37" s="135"/>
      <c r="H37" s="127"/>
      <c r="I37" s="127" t="s">
        <v>105</v>
      </c>
      <c r="J37" s="128"/>
      <c r="K37" s="131"/>
      <c r="L37" s="127"/>
      <c r="M37" s="127"/>
      <c r="N37" s="130"/>
      <c r="O37" s="127"/>
      <c r="P37" s="130"/>
      <c r="Q37" s="110"/>
    </row>
    <row r="38" spans="2:17" x14ac:dyDescent="0.25">
      <c r="B38" s="117"/>
      <c r="C38" s="123"/>
      <c r="D38" s="135"/>
      <c r="E38" s="127"/>
      <c r="F38" s="127"/>
      <c r="G38" s="135"/>
      <c r="H38" s="127"/>
      <c r="I38" s="127"/>
      <c r="J38" s="128"/>
      <c r="K38" s="131"/>
      <c r="O38" s="127"/>
      <c r="Q38" s="110"/>
    </row>
    <row r="39" spans="2:17" x14ac:dyDescent="0.25">
      <c r="B39" s="118"/>
      <c r="C39" s="124"/>
      <c r="D39" s="136"/>
      <c r="E39" s="112"/>
      <c r="F39" s="112"/>
      <c r="G39" s="136"/>
      <c r="H39" s="112"/>
      <c r="I39" s="112"/>
      <c r="J39" s="113"/>
      <c r="K39" s="119"/>
      <c r="L39" s="114"/>
      <c r="M39" s="114"/>
      <c r="N39" s="115"/>
      <c r="O39" s="112"/>
      <c r="P39" s="115"/>
      <c r="Q39" s="116"/>
    </row>
    <row r="40" spans="2:17" x14ac:dyDescent="0.25">
      <c r="B40" s="129">
        <v>13</v>
      </c>
      <c r="C40" s="128" t="s">
        <v>47</v>
      </c>
      <c r="D40" s="135">
        <v>1.8599999999999998E-2</v>
      </c>
      <c r="E40" s="127" t="s">
        <v>77</v>
      </c>
      <c r="F40" s="127"/>
      <c r="G40" s="135"/>
      <c r="H40" s="127" t="s">
        <v>122</v>
      </c>
      <c r="I40" s="127" t="s">
        <v>117</v>
      </c>
      <c r="J40" s="128"/>
      <c r="K40" s="128"/>
      <c r="N40" s="130"/>
      <c r="O40" s="127"/>
      <c r="P40" s="130"/>
      <c r="Q40" s="110"/>
    </row>
    <row r="41" spans="2:17" x14ac:dyDescent="0.25">
      <c r="B41" s="108"/>
      <c r="C41" s="102"/>
      <c r="D41" s="135"/>
      <c r="E41" s="127"/>
      <c r="F41" s="127"/>
      <c r="G41" s="135"/>
      <c r="H41" s="127"/>
      <c r="I41" s="127"/>
      <c r="J41" s="128"/>
      <c r="K41" s="128"/>
      <c r="O41" s="127"/>
      <c r="Q41" s="110"/>
    </row>
    <row r="42" spans="2:17" x14ac:dyDescent="0.25">
      <c r="B42" s="111"/>
      <c r="C42" s="122"/>
      <c r="D42" s="136"/>
      <c r="E42" s="112"/>
      <c r="F42" s="112"/>
      <c r="G42" s="136"/>
      <c r="H42" s="112"/>
      <c r="I42" s="112"/>
      <c r="J42" s="113"/>
      <c r="K42" s="113"/>
      <c r="L42" s="114"/>
      <c r="M42" s="114"/>
      <c r="N42" s="115"/>
      <c r="O42" s="112"/>
      <c r="P42" s="115"/>
      <c r="Q42" s="116"/>
    </row>
    <row r="43" spans="2:17" x14ac:dyDescent="0.25">
      <c r="B43" s="129">
        <v>14</v>
      </c>
      <c r="C43" s="128" t="s">
        <v>47</v>
      </c>
      <c r="D43" s="135">
        <v>8.3000000000000004E-2</v>
      </c>
      <c r="E43" s="127" t="s">
        <v>36</v>
      </c>
      <c r="F43" s="127"/>
      <c r="G43" s="135"/>
      <c r="H43" s="127" t="s">
        <v>122</v>
      </c>
      <c r="I43" s="127" t="s">
        <v>105</v>
      </c>
      <c r="J43" s="128"/>
      <c r="K43" s="128"/>
      <c r="N43" s="130"/>
      <c r="O43" s="127"/>
      <c r="P43" s="130"/>
      <c r="Q43" s="110"/>
    </row>
    <row r="44" spans="2:17" x14ac:dyDescent="0.25">
      <c r="B44" s="108"/>
      <c r="C44" s="102"/>
      <c r="D44" s="135"/>
      <c r="E44" s="127"/>
      <c r="F44" s="127"/>
      <c r="G44" s="135"/>
      <c r="H44" s="127"/>
      <c r="I44" s="127"/>
      <c r="J44" s="128"/>
      <c r="K44" s="128"/>
      <c r="O44" s="127"/>
      <c r="Q44" s="110"/>
    </row>
    <row r="45" spans="2:17" x14ac:dyDescent="0.25">
      <c r="B45" s="111"/>
      <c r="C45" s="122"/>
      <c r="D45" s="136"/>
      <c r="E45" s="112"/>
      <c r="F45" s="112"/>
      <c r="G45" s="136"/>
      <c r="H45" s="112"/>
      <c r="I45" s="112"/>
      <c r="J45" s="113"/>
      <c r="K45" s="113"/>
      <c r="L45" s="114"/>
      <c r="M45" s="114"/>
      <c r="N45" s="115"/>
      <c r="O45" s="112"/>
      <c r="P45" s="115"/>
      <c r="Q45" s="116"/>
    </row>
    <row r="46" spans="2:17" x14ac:dyDescent="0.25">
      <c r="B46" s="129">
        <v>15</v>
      </c>
      <c r="C46" s="128" t="s">
        <v>47</v>
      </c>
      <c r="D46" s="135">
        <v>4.8899999999999999E-2</v>
      </c>
      <c r="E46" s="127" t="s">
        <v>119</v>
      </c>
      <c r="F46" s="127"/>
      <c r="G46" s="135"/>
      <c r="H46" s="127"/>
      <c r="I46" s="127" t="s">
        <v>105</v>
      </c>
      <c r="J46" s="128" t="s">
        <v>123</v>
      </c>
      <c r="K46" s="128"/>
      <c r="N46" s="130"/>
      <c r="O46" s="127"/>
      <c r="P46" s="130"/>
      <c r="Q46" s="110"/>
    </row>
    <row r="47" spans="2:17" x14ac:dyDescent="0.25">
      <c r="B47" s="129"/>
      <c r="C47" s="128"/>
      <c r="D47" s="135"/>
      <c r="E47" s="127"/>
      <c r="F47" s="127"/>
      <c r="G47" s="135"/>
      <c r="H47" s="127"/>
      <c r="I47" s="127"/>
      <c r="J47" s="128"/>
      <c r="K47" s="128"/>
      <c r="N47" s="130"/>
      <c r="O47" s="127"/>
      <c r="P47" s="130"/>
      <c r="Q47" s="110"/>
    </row>
    <row r="48" spans="2:17" x14ac:dyDescent="0.25">
      <c r="B48" s="129"/>
      <c r="C48" s="128"/>
      <c r="D48" s="135"/>
      <c r="E48" s="127"/>
      <c r="F48" s="127" t="s">
        <v>125</v>
      </c>
      <c r="G48" s="135">
        <v>0.3</v>
      </c>
      <c r="H48" s="127" t="s">
        <v>122</v>
      </c>
      <c r="I48" s="127" t="s">
        <v>117</v>
      </c>
      <c r="J48" s="128"/>
      <c r="K48" s="128"/>
      <c r="N48" s="130"/>
      <c r="O48" s="127"/>
      <c r="P48" s="130"/>
      <c r="Q48" s="110"/>
    </row>
    <row r="49" spans="2:17" x14ac:dyDescent="0.25">
      <c r="B49" s="129"/>
      <c r="C49" s="128"/>
      <c r="D49" s="135"/>
      <c r="E49" s="127"/>
      <c r="F49" s="127"/>
      <c r="G49" s="135"/>
      <c r="H49" s="127"/>
      <c r="I49" s="127"/>
      <c r="J49" s="128"/>
      <c r="K49" s="128"/>
      <c r="N49" s="130"/>
      <c r="O49" s="127"/>
      <c r="P49" s="130"/>
      <c r="Q49" s="110"/>
    </row>
    <row r="50" spans="2:17" x14ac:dyDescent="0.25">
      <c r="B50" s="129"/>
      <c r="C50" s="128"/>
      <c r="D50" s="135"/>
      <c r="E50" s="127"/>
      <c r="F50" s="127" t="s">
        <v>126</v>
      </c>
      <c r="G50" s="135">
        <v>0.3</v>
      </c>
      <c r="H50" s="127" t="s">
        <v>122</v>
      </c>
      <c r="I50" s="127" t="s">
        <v>117</v>
      </c>
      <c r="J50" s="128"/>
      <c r="K50" s="128"/>
      <c r="N50" s="130"/>
      <c r="O50" s="127"/>
      <c r="P50" s="130"/>
      <c r="Q50" s="110"/>
    </row>
    <row r="51" spans="2:17" x14ac:dyDescent="0.25">
      <c r="B51" s="129"/>
      <c r="C51" s="128"/>
      <c r="D51" s="135"/>
      <c r="E51" s="127"/>
      <c r="F51" s="127"/>
      <c r="G51" s="135"/>
      <c r="H51" s="127"/>
      <c r="I51" s="127"/>
      <c r="J51" s="128"/>
      <c r="K51" s="128"/>
      <c r="N51" s="130"/>
      <c r="O51" s="127"/>
      <c r="P51" s="130"/>
      <c r="Q51" s="110"/>
    </row>
    <row r="52" spans="2:17" x14ac:dyDescent="0.25">
      <c r="B52" s="120"/>
      <c r="D52" s="135"/>
      <c r="F52" s="127" t="s">
        <v>127</v>
      </c>
      <c r="G52" s="135">
        <v>0.4</v>
      </c>
      <c r="H52" s="132" t="s">
        <v>122</v>
      </c>
      <c r="I52" s="127" t="s">
        <v>117</v>
      </c>
      <c r="Q52" s="110"/>
    </row>
    <row r="53" spans="2:17" x14ac:dyDescent="0.25">
      <c r="B53" s="121"/>
      <c r="C53" s="114"/>
      <c r="D53" s="137"/>
      <c r="E53" s="114"/>
      <c r="F53" s="114"/>
      <c r="G53" s="137"/>
      <c r="H53" s="114"/>
      <c r="I53" s="114"/>
      <c r="J53" s="122"/>
      <c r="K53" s="114"/>
      <c r="L53" s="114"/>
      <c r="M53" s="114"/>
      <c r="N53" s="115"/>
      <c r="O53" s="114"/>
      <c r="P53" s="115"/>
      <c r="Q53" s="116"/>
    </row>
    <row r="54" spans="2:17" ht="22.5" customHeight="1" x14ac:dyDescent="0.25">
      <c r="D54" s="139">
        <f>SUM(D3:D53)</f>
        <v>1.0002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3</vt:i4>
      </vt:variant>
    </vt:vector>
  </HeadingPairs>
  <TitlesOfParts>
    <vt:vector size="7" baseType="lpstr">
      <vt:lpstr>Registre</vt:lpstr>
      <vt:lpstr>Soci Watergarden</vt:lpstr>
      <vt:lpstr>Soci Arcoiris</vt:lpstr>
      <vt:lpstr>Doc ID</vt:lpstr>
      <vt:lpstr>Registre!Area_stampa</vt:lpstr>
      <vt:lpstr>'Soci Arcoiris'!Area_stampa</vt:lpstr>
      <vt:lpstr>'Soci Watergarden'!Area_stampa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cp:lastPrinted>2026-05-15T17:00:51Z</cp:lastPrinted>
  <dcterms:created xsi:type="dcterms:W3CDTF">2017-07-18T06:43:39Z</dcterms:created>
  <dcterms:modified xsi:type="dcterms:W3CDTF">2026-05-15T17:02:12Z</dcterms:modified>
</cp:coreProperties>
</file>